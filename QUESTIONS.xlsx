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hansghezzi/Desktop/UBC/GRAD_SCHOOL/TAships/"/>
    </mc:Choice>
  </mc:AlternateContent>
  <xr:revisionPtr revIDLastSave="0" documentId="8_{8F691EDE-84D2-344E-8A4D-CB2AD8D71FD4}" xr6:coauthVersionLast="47" xr6:coauthVersionMax="47" xr10:uidLastSave="{00000000-0000-0000-0000-000000000000}"/>
  <bookViews>
    <workbookView xWindow="4060" yWindow="3160" windowWidth="27240" windowHeight="16440" xr2:uid="{0E439CC9-735C-BD42-9942-E9F8FE795EF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7" i="1" l="1"/>
  <c r="E147" i="1"/>
  <c r="D147" i="1"/>
  <c r="C147" i="1"/>
  <c r="F70" i="1"/>
  <c r="E70" i="1"/>
  <c r="D70" i="1"/>
  <c r="C70" i="1"/>
  <c r="F48" i="1"/>
  <c r="E48" i="1"/>
  <c r="D48" i="1"/>
  <c r="C48" i="1"/>
</calcChain>
</file>

<file path=xl/sharedStrings.xml><?xml version="1.0" encoding="utf-8"?>
<sst xmlns="http://schemas.openxmlformats.org/spreadsheetml/2006/main" count="1130" uniqueCount="1095">
  <si>
    <t>id</t>
  </si>
  <si>
    <t>question</t>
  </si>
  <si>
    <t>option1</t>
  </si>
  <si>
    <t>option2</t>
  </si>
  <si>
    <t>option3</t>
  </si>
  <si>
    <t>option4</t>
  </si>
  <si>
    <t>post_seq_survey_02</t>
  </si>
  <si>
    <t>How does 'Multiplexing' (ie barcoding) lower the cost of microbiome studies?</t>
  </si>
  <si>
    <t>It reduces the need for PCR amplification in the library preparation step</t>
  </si>
  <si>
    <t>It reduces the cost by allowing sequencing of multiple samples in the same lane</t>
  </si>
  <si>
    <t>It improves the quality of the sequencing data across all samples</t>
  </si>
  <si>
    <t>It makes the sequencing run significantly faster</t>
  </si>
  <si>
    <t>mile_16s_02</t>
  </si>
  <si>
    <t>Looking at the FASTQ screenshot, what do the 'F' characters in the bottom line represent?</t>
  </si>
  <si>
    <t>The sequence of the reverse strand</t>
  </si>
  <si>
    <t>A Phred quality score</t>
  </si>
  <si>
    <t>Technical information about the sequencing instrument</t>
  </si>
  <si>
    <t>The flow cell lane identifier</t>
  </si>
  <si>
    <t>post_16s_survey_04</t>
  </si>
  <si>
    <t>How does the choice of the V3-V4 region (approx 460bp) impact the choice of sequencing chemistry (e.g., 2x150 vs 2x300)?</t>
  </si>
  <si>
    <t>You must use 2x300 to ensure the paired reads overlap; 2x150 would leave a gap</t>
  </si>
  <si>
    <t>You can use any kid that provides the greatest sequencing depth possible to maximise resolution</t>
  </si>
  <si>
    <t>You must use single-end sequencing</t>
  </si>
  <si>
    <t>You can use any sequencing chemistry as long as it's paired-end</t>
  </si>
  <si>
    <t>prop_q2_arch_01</t>
  </si>
  <si>
    <t>What is the fundamental purpose of a QIIME 2 'Plugin'?</t>
  </si>
  <si>
    <t>To visualize data in a web browser</t>
  </si>
  <si>
    <t>To manage the conda environment</t>
  </si>
  <si>
    <t>To provide a specific set of related commands (e.g., 'demux' or 'diversity')</t>
  </si>
  <si>
    <t>To store the raw sequencing data</t>
  </si>
  <si>
    <t>prop_q2_arch_04</t>
  </si>
  <si>
    <t>What is the correct syntax structure for running any QIIME 2 command?</t>
  </si>
  <si>
    <t>qiime &lt;action&gt; &lt;plugin&gt; &lt;options&gt;</t>
  </si>
  <si>
    <t>qiime &lt;plugin&gt; &lt;action&gt; &lt;options&gt;</t>
  </si>
  <si>
    <t>run &lt;plugin&gt; &lt;action&gt; &lt;options&gt;</t>
  </si>
  <si>
    <t>call &lt;action&gt; &lt;plugin&gt; &lt;options&gt;</t>
  </si>
  <si>
    <t>mile_q2_arch_03</t>
  </si>
  <si>
    <t>Look at this incorrect code snippet: `qiime import --type EMPSingleEndSequences ...`. Why does this return "command not found"?</t>
  </si>
  <si>
    <t>It is missing the `tools` plugin name</t>
  </si>
  <si>
    <t>It is missing the input path</t>
  </si>
  <si>
    <t>It is missing the output path</t>
  </si>
  <si>
    <t>It is missing the file extension</t>
  </si>
  <si>
    <t>prop_tax_bio_04</t>
  </si>
  <si>
    <t>What biological process does the `extract-reads` step simulate on the computer?</t>
  </si>
  <si>
    <t>The sequencing reaction</t>
  </si>
  <si>
    <t>The PCR amplification</t>
  </si>
  <si>
    <t>The bacterial growth</t>
  </si>
  <si>
    <t>The DNA extraction</t>
  </si>
  <si>
    <t>Taxonomy</t>
  </si>
  <si>
    <t>prop_seq_mech_01</t>
  </si>
  <si>
    <t>What is the correct order of the four basic steps in the 16S sequencing workflow, from sample collection to QIIME2/R?</t>
  </si>
  <si>
    <t>Sequencing, Sample Prep, Cluster Generation, Data Analysis</t>
  </si>
  <si>
    <t>Sample Prep, Cluster Generation, Sequencing, Data Analysis</t>
  </si>
  <si>
    <t>Sample Prep, Sequencing, Cluster Generation, Data Analysis</t>
  </si>
  <si>
    <t>Cluster Generation, Sample Prep, Sequencing, Data Analysis</t>
  </si>
  <si>
    <t>prop_seq_mech_06</t>
  </si>
  <si>
    <t>How does 'Paired-End' sequencing differ from single-end sequencing?</t>
  </si>
  <si>
    <t>It sequences two different samples at once</t>
  </si>
  <si>
    <t>It sequences DNA and RNA simultaneously</t>
  </si>
  <si>
    <t>It sequences the same strand twice</t>
  </si>
  <si>
    <t>It sequences both ends of a DNA fragment</t>
  </si>
  <si>
    <t>prop_seq_mech_07</t>
  </si>
  <si>
    <t>What is the primary purpose of barcode sequences?</t>
  </si>
  <si>
    <t>To identify which sample the read belongs to</t>
  </si>
  <si>
    <t>To align the sequence to a reference genome</t>
  </si>
  <si>
    <t>To measure the quality score of the read</t>
  </si>
  <si>
    <t>To determine the total fragment length</t>
  </si>
  <si>
    <t>prop_seq_mech_08</t>
  </si>
  <si>
    <t>On what physical surface does the Illumina sequencing reaction take place?</t>
  </si>
  <si>
    <t>A silicon microchip</t>
  </si>
  <si>
    <t>A flow cell</t>
  </si>
  <si>
    <t>A plastic microplate</t>
  </si>
  <si>
    <t>A magnetic bead</t>
  </si>
  <si>
    <t>prop_seq_mech_09</t>
  </si>
  <si>
    <t>How does the machine determine which base (A, C, T, or G) was incorporated?</t>
  </si>
  <si>
    <t>By measuring the change in pH</t>
  </si>
  <si>
    <t>By detecting a specific fluorescent signal</t>
  </si>
  <si>
    <t>By measuring the change in voltage</t>
  </si>
  <si>
    <t>By measuring the change in weight</t>
  </si>
  <si>
    <t>prop_seq_mech_10</t>
  </si>
  <si>
    <t>What constitutes a 'Cluster' on the Illumina sequencer's flow cell?</t>
  </si>
  <si>
    <t>A group of identical strands derived from one template</t>
  </si>
  <si>
    <t>A group of different DNA fragments from one sample</t>
  </si>
  <si>
    <t>A single DNA strand attached to an oligo</t>
  </si>
  <si>
    <t>A group of sequencing primers bound together</t>
  </si>
  <si>
    <t>mile_seq_mech_01</t>
  </si>
  <si>
    <t>You need to sequence the V3-V4 region (~460 bp). Which sequencing approach ensures that the reads will overlap, thus capturing the entire region?</t>
  </si>
  <si>
    <t>Paired-end 150 bp</t>
  </si>
  <si>
    <t>Single-end 300 bp</t>
  </si>
  <si>
    <t>Paired-end 300 bp</t>
  </si>
  <si>
    <t>Single-end 400 bp</t>
  </si>
  <si>
    <t>mile_seq_mech_04</t>
  </si>
  <si>
    <t>Why do we add unique barcodes to samples before pooling them for a single run?</t>
  </si>
  <si>
    <t>To improve the quality scores of the run</t>
  </si>
  <si>
    <t>To increase the total amount of DNA</t>
  </si>
  <si>
    <t>To allow us to demultiplex the samples in QIIME2</t>
  </si>
  <si>
    <t>To physically separate them in the lane</t>
  </si>
  <si>
    <t>mile_seq_mech_08</t>
  </si>
  <si>
    <t>What is an advantage of Paired-End sequencing over Single-End sequencing?</t>
  </si>
  <si>
    <t>It can cover larger variable regions</t>
  </si>
  <si>
    <t>It is significantly cheaper</t>
  </si>
  <si>
    <t>It produces twice as many clusters</t>
  </si>
  <si>
    <t>It is faster to run</t>
  </si>
  <si>
    <t>mile_seq_mech_09</t>
  </si>
  <si>
    <t>What happens if the barcodes are omitted during the run?</t>
  </si>
  <si>
    <t>The quality scores will drop to zero</t>
  </si>
  <si>
    <t>The clusters will fail to generate</t>
  </si>
  <si>
    <t>Demultiplexing becomes impossible</t>
  </si>
  <si>
    <t>The run proceeds without issues</t>
  </si>
  <si>
    <t>prop_16s_01</t>
  </si>
  <si>
    <t>Based on the diagram of the ribosome, which subunit contains the 16S ribosomal RNA molecule?</t>
  </si>
  <si>
    <t>The 50S large subunit</t>
  </si>
  <si>
    <t>The 5S rRNA subunit</t>
  </si>
  <si>
    <t>The 30S small subunit</t>
  </si>
  <si>
    <t>The 23S rRNA subunit</t>
  </si>
  <si>
    <t>prop_16s_02</t>
  </si>
  <si>
    <t>According to the gene map, how many hypervariable regions (V-regions) are present in the 16S rRNA gene?</t>
  </si>
  <si>
    <t>Five (V1-V5)</t>
  </si>
  <si>
    <t>Nine (V1-V9)</t>
  </si>
  <si>
    <t>Seven (V1-V7)</t>
  </si>
  <si>
    <t>Three (V1-V3)</t>
  </si>
  <si>
    <t>prop_16s_03</t>
  </si>
  <si>
    <t>What file format is depicted in this screenshot, showing sequences and quality scores?</t>
  </si>
  <si>
    <t>FASTA format</t>
  </si>
  <si>
    <t>BAM format</t>
  </si>
  <si>
    <t>VCF format</t>
  </si>
  <si>
    <t>FASTQ format</t>
  </si>
  <si>
    <t>prop_16s_04</t>
  </si>
  <si>
    <t>In the library preparation schematic, what is the function of the 'Sample Barcode' (shown in orange)?</t>
  </si>
  <si>
    <t>To bind the DNA to the flow cell</t>
  </si>
  <si>
    <t>To amplify the DNA fragment</t>
  </si>
  <si>
    <t>To identify the sample origin</t>
  </si>
  <si>
    <t>To act as a sequencing primer</t>
  </si>
  <si>
    <t>prop_16s_05</t>
  </si>
  <si>
    <t>What does the 'Targeted Region' in the schematic encompass?</t>
  </si>
  <si>
    <t>The V1 and V2 regions</t>
  </si>
  <si>
    <t>The V7 and V8 regions</t>
  </si>
  <si>
    <t>The V5 and V6 regions</t>
  </si>
  <si>
    <t>The V3 and V4 regions</t>
  </si>
  <si>
    <t>prop_16s_06</t>
  </si>
  <si>
    <t>What is the biological function of the 16S rRNA gene in bacteria?</t>
  </si>
  <si>
    <t>It encodes a metabolic enzyme required for glycolysis</t>
  </si>
  <si>
    <t>It encodes a structural component of the ribosome needed for translation</t>
  </si>
  <si>
    <t>It encodes a toxin used for bacterial defense</t>
  </si>
  <si>
    <t>It encodes a regulatory protein for cell division</t>
  </si>
  <si>
    <t>prop_16s_07</t>
  </si>
  <si>
    <t>What are the grey sections labeled 'Constant Region' used for in the primer design schematic?</t>
  </si>
  <si>
    <t>For unique sample identification</t>
  </si>
  <si>
    <t>For determining species taxonomy</t>
  </si>
  <si>
    <t>For binding 'universal' (not species specific) primers</t>
  </si>
  <si>
    <t>For measuring sequence quality</t>
  </si>
  <si>
    <t>prop_16s_08</t>
  </si>
  <si>
    <t>What is the definition of 'Microbiota'?</t>
  </si>
  <si>
    <t>The combined genetic material of all microbes</t>
  </si>
  <si>
    <t>The specific viral population in a sample</t>
  </si>
  <si>
    <t>The bacterial cell wall structure</t>
  </si>
  <si>
    <t>The community of microorganisms in an environment</t>
  </si>
  <si>
    <t>prop_16s_09</t>
  </si>
  <si>
    <t>Which scientist is credited with pioneering the use of 16S rRNA for phylogeny?</t>
  </si>
  <si>
    <t>Charles Darwin</t>
  </si>
  <si>
    <t>Robert Koch</t>
  </si>
  <si>
    <t>Louis Pasteur</t>
  </si>
  <si>
    <t>Carl Woese</t>
  </si>
  <si>
    <t>prop_16s_10</t>
  </si>
  <si>
    <t>What is the difference between Microbiome and Microbiota?</t>
  </si>
  <si>
    <t>Microbiome refers to genes; Microbiota refers to the organisms</t>
  </si>
  <si>
    <t>Microbiota refers to genes; Microbiome refers to the organisms</t>
  </si>
  <si>
    <t>They are exactly the same term</t>
  </si>
  <si>
    <t>Microbiome is for viruses only; Microbiota is for bacteria</t>
  </si>
  <si>
    <t>mile_16s_01</t>
  </si>
  <si>
    <t>Based on the primer map, if you use the '27F' primer, which end of the 16S gene are you targeting?</t>
  </si>
  <si>
    <t>The very end (3' end) near V9</t>
  </si>
  <si>
    <t>The middle region near V4</t>
  </si>
  <si>
    <t>The very beginning (5' end) near V1</t>
  </si>
  <si>
    <t>The constant region near V6</t>
  </si>
  <si>
    <t>mile_16s_03</t>
  </si>
  <si>
    <t>If a mutation occurs in the 'Constant Region' where the 'Primer Sequence' is supposed to bind, what is the result?</t>
  </si>
  <si>
    <t>The primer will bind more tightly</t>
  </si>
  <si>
    <t>The sequencing will be faster</t>
  </si>
  <si>
    <t>The barcode will be read incorrectly</t>
  </si>
  <si>
    <t>The PCR amplification will fail or be inefficient</t>
  </si>
  <si>
    <t>mile_16s_04</t>
  </si>
  <si>
    <t>Why is it necessary to target specific regions like V3-V4 (approx 460bp) rather than the whole 16S gene (1500bp) for Illumina sequencing?</t>
  </si>
  <si>
    <t>The whole gene is too conserved to provide identification</t>
  </si>
  <si>
    <t>The V3-V4 region is the only variable part</t>
  </si>
  <si>
    <t>The whole gene cannot be amplified by any type of PCR</t>
  </si>
  <si>
    <t>Illumina read lengths are too short to span the full gene</t>
  </si>
  <si>
    <t>mile_16s_05</t>
  </si>
  <si>
    <t>In the FASTQ file, what is the purpose of the line starting with the '+' symbol?</t>
  </si>
  <si>
    <t>It indicates the strand direction is forward</t>
  </si>
  <si>
    <t>It marks the end of the file</t>
  </si>
  <si>
    <t>It acts as a separator between the sequence and the quality score string</t>
  </si>
  <si>
    <t>It lists the barcode sequence</t>
  </si>
  <si>
    <t>mile_16s_06</t>
  </si>
  <si>
    <t>If you use a primer set that binds to V1 and V3, but your analysis assumes V4, what will happen during taxonomic classification?</t>
  </si>
  <si>
    <t>The quality scores will improve</t>
  </si>
  <si>
    <t>The classification will fail or be incorrect due to database mismatch</t>
  </si>
  <si>
    <t>The analysis will proceed without errors</t>
  </si>
  <si>
    <t>The read count will increase</t>
  </si>
  <si>
    <t>mile_16s_07</t>
  </si>
  <si>
    <t>What is 'PCR Bias' in the context of 16S amplicon sequencing?</t>
  </si>
  <si>
    <t>Random errors introduced by the polymerase</t>
  </si>
  <si>
    <t>Degradation of DNA during the cycle</t>
  </si>
  <si>
    <t>Contamination from the environment</t>
  </si>
  <si>
    <t>Preferential amplification of some taxa over others due to primer affinity</t>
  </si>
  <si>
    <t>mile_16s_08</t>
  </si>
  <si>
    <t>Based on the gene map, which primer pair would you select to amplify the longest possible fragment of the 16S gene?</t>
  </si>
  <si>
    <t>341F and 530F</t>
  </si>
  <si>
    <t>27F and 1492R</t>
  </si>
  <si>
    <t>27F and 530F</t>
  </si>
  <si>
    <t>1100R and 1492R</t>
  </si>
  <si>
    <t>mile_16s_09</t>
  </si>
  <si>
    <t>Why can't 16S amplicon sequencing be used to identify viruses in a sample?</t>
  </si>
  <si>
    <t>Viruses are too small to be sequenced</t>
  </si>
  <si>
    <t>Viral DNA is not compatible with sequencing technology</t>
  </si>
  <si>
    <t>Viruses do not contain ribosomes or the 16S rRNA gene</t>
  </si>
  <si>
    <t>Viral genomes are made of protein</t>
  </si>
  <si>
    <t>mile_16s_10</t>
  </si>
  <si>
    <t>What is the consequence of 'Barcode Collision' (using the same barcode for two samples in one run)?</t>
  </si>
  <si>
    <t>The sequencing run will stop</t>
  </si>
  <si>
    <t>The quality scores will be zero</t>
  </si>
  <si>
    <t>The primers will not bind</t>
  </si>
  <si>
    <t>The samples cannot be distinguished computationally (demultiplexing fails)</t>
  </si>
  <si>
    <t>post_16s_survey_01</t>
  </si>
  <si>
    <t>You are analyzing a FASTQ file and notice the quality string is entirely composed of the character '#', which typically represents a quality score of 2. What does this imply?</t>
  </si>
  <si>
    <t>The read is extremely low quality and likely unusable</t>
  </si>
  <si>
    <t>The read is perfect quality</t>
  </si>
  <si>
    <t>The read is a control sequence</t>
  </si>
  <si>
    <t>The read is a barcode</t>
  </si>
  <si>
    <t>post_16s_survey_02</t>
  </si>
  <si>
    <t>Why might different studies of the same environment yield different results if they target different V-regions (e.g., V4 vs. V1-V3)?</t>
  </si>
  <si>
    <t>One region is always more accurate than the other</t>
  </si>
  <si>
    <t>The sequencing machine we use changes based on the region</t>
  </si>
  <si>
    <t>Different regions have different discriminatory power for specific bacterial taxa</t>
  </si>
  <si>
    <t>The DNA extraction method changes based on the region</t>
  </si>
  <si>
    <t>post_16s_survey_03</t>
  </si>
  <si>
    <t>The 'Universal' primers (e.g., 27F) bind to conserved regions. Are they truly universal for all bacteria?</t>
  </si>
  <si>
    <t>Yes, they bind to every single bacteria on Earth</t>
  </si>
  <si>
    <t>No, some bacteria may have mutations in the binding site preventing amplification</t>
  </si>
  <si>
    <t>Yes, they also bind to Archaea and Eukaryotes</t>
  </si>
  <si>
    <t>No, they only bind to E. coli</t>
  </si>
  <si>
    <t>post_16s_survey_05</t>
  </si>
  <si>
    <t>Why is the 16S rRNA gene considered an ideal 'Molecular Clock' for phylogeny?</t>
  </si>
  <si>
    <t>It is present in all bacteria, functionally constant, and contains both conserved and variable regions</t>
  </si>
  <si>
    <t>It mutates very rapidly to show recent changes only</t>
  </si>
  <si>
    <t>It is unique to pathogenic bacteria</t>
  </si>
  <si>
    <t>It is a protein-coding gene subject to selection</t>
  </si>
  <si>
    <t>prop_q2_arch_02</t>
  </si>
  <si>
    <t>In the command `qiime tools import`, what role does `tools` play?</t>
  </si>
  <si>
    <t>It is the name of the input file</t>
  </si>
  <si>
    <t>It is the plugin (subset of commands) being called</t>
  </si>
  <si>
    <t>It is the specific action being performed</t>
  </si>
  <si>
    <t>It is the name of the output directory</t>
  </si>
  <si>
    <t>prop_q2_arch_03</t>
  </si>
  <si>
    <t>Which file extension represents a QIIME 2 Artifact, which contains both data and provenance metadata?</t>
  </si>
  <si>
    <t>.txt</t>
  </si>
  <si>
    <t>.qzv</t>
  </si>
  <si>
    <t>.fastq</t>
  </si>
  <si>
    <t>.qza</t>
  </si>
  <si>
    <t>prop_q2_arch_06</t>
  </si>
  <si>
    <t>Which Semantic Type (data format specified during import) is appropriate for importing Earth Microbiome Project (EMP) single-end reads?</t>
  </si>
  <si>
    <t>SampleData[Sequences]</t>
  </si>
  <si>
    <t>FeatureData[Sequence]</t>
  </si>
  <si>
    <t>Phylogeny[Rooted]</t>
  </si>
  <si>
    <t>EMPSingleEndSequences</t>
  </si>
  <si>
    <t>prop_q2_arch_07</t>
  </si>
  <si>
    <t>What is the purpose of the `--input-path` part of the 'qiime tools import' command?</t>
  </si>
  <si>
    <t>To specify the semantic type</t>
  </si>
  <si>
    <t>To specify where the output artifact will be saved</t>
  </si>
  <si>
    <t>To specify the directory or file containing the raw data</t>
  </si>
  <si>
    <t>To specify the format of the input data</t>
  </si>
  <si>
    <t>prop_q2_arch_09</t>
  </si>
  <si>
    <t>What is a 'Manifest File' used for during import?</t>
  </si>
  <si>
    <t>It lists the barcodes for demultiplexing</t>
  </si>
  <si>
    <t>It maps sample identifiers to their absolute file paths</t>
  </si>
  <si>
    <t>It assigns taxonomy to sequences</t>
  </si>
  <si>
    <t>It visualizes the quality scores</t>
  </si>
  <si>
    <t>prop_q2_arch_10</t>
  </si>
  <si>
    <t>Which format should be specified when importing a manifest file for single-end reads with Phred33-formatted quality scores?</t>
  </si>
  <si>
    <t>PairedEndFastqManifestPhred64</t>
  </si>
  <si>
    <t>SingleEndFastqManifestPhred33V2</t>
  </si>
  <si>
    <t>mile_q2_arch_01</t>
  </si>
  <si>
    <t>You run the following code but get an error: `qiime tools import --type EMPSingleEndSequences --output-path sequences.qza`. What critical flag (command input) is missing?</t>
  </si>
  <si>
    <t>mile_q2_arch_04</t>
  </si>
  <si>
    <t>You have paired-end data with a manifest. Which Semantic Type (data type, --type) must you strictly use when running 'qiime tools import'?</t>
  </si>
  <si>
    <t>SampleData[PairedEndSequencesWithQuality]</t>
  </si>
  <si>
    <t>mile_q2_arch_05</t>
  </si>
  <si>
    <t>Why is `SampleData[Sequences]` NOT the correct type for importing the Moving Pictures dataset?</t>
  </si>
  <si>
    <t>The data are already demultiplexed</t>
  </si>
  <si>
    <t>The data contain no quality scores</t>
  </si>
  <si>
    <t>The data are paired-end</t>
  </si>
  <si>
    <t>The data are multiplexed and require the `EMPSingleEndSequences` type</t>
  </si>
  <si>
    <t>mile_q2_arch_06</t>
  </si>
  <si>
    <t>You successfully imported your data but forgot the file name. You run `ls` and see `data.qza`. How can you confirm this is the correct artifact?</t>
  </si>
  <si>
    <t>Run `qiime tools peek data.qza` to see its type and UUID</t>
  </si>
  <si>
    <t>Run `cat data.qza` to read the text</t>
  </si>
  <si>
    <t>Run `qiime tools view data.qza`</t>
  </si>
  <si>
    <t>Run `open data.qza`</t>
  </si>
  <si>
    <t>mile_q2_arch_07</t>
  </si>
  <si>
    <t>What is the primary difference between a .qza file and a .qzv file in the QIIME 2 architecture?</t>
  </si>
  <si>
    <t>.qza contains only metadata; .qzv contains only sequences</t>
  </si>
  <si>
    <t>.qza is data for intermediate analysis; .qzv is a terminal visualization for humans</t>
  </si>
  <si>
    <t>.qza is for humans; .qzv is for the computer</t>
  </si>
  <si>
    <t>.qza is uncompressed; .qzv is compressed</t>
  </si>
  <si>
    <t>mile_q2_arch_10</t>
  </si>
  <si>
    <t>Why does QIIME 2 wrap data in Artifacts (.qza) instead of using standard FASTQ files throughout the pipeline?</t>
  </si>
  <si>
    <t>To make the files smaller</t>
  </si>
  <si>
    <t>To prevent you from opening them</t>
  </si>
  <si>
    <t>To track provenance (history) and ensure interoperability between plugins</t>
  </si>
  <si>
    <t>To make it harder to use</t>
  </si>
  <si>
    <t>post_arch_survey_04</t>
  </si>
  <si>
    <t>You have demultiplexed paired-end data in a directory. You try to import it using `--type EMPSingleEndSequences`. Why does QIIME 2 reject this or fail later?</t>
  </si>
  <si>
    <t>The files are too large</t>
  </si>
  <si>
    <t>QIIME 2 cannot handle paired-end data</t>
  </si>
  <si>
    <t>The directory is read-only</t>
  </si>
  <si>
    <t>The semantic type does not match the data structure (Paired vs Single, Demux vs Multiplexed)</t>
  </si>
  <si>
    <t>post_arch_survey_05</t>
  </si>
  <si>
    <t>If you wanted to share your final analysis with a collaborator who does NOT have QIIME 2 installed, what files would you send them?</t>
  </si>
  <si>
    <t>The .qza artifact files</t>
  </si>
  <si>
    <t>The raw FASTQ files</t>
  </si>
  <si>
    <t>The manifest file</t>
  </si>
  <si>
    <t>The .qzv visualization files</t>
  </si>
  <si>
    <t>prop_q2_dn_01</t>
  </si>
  <si>
    <t>According to the module outcomes, what is the primary goal of the 'Denoising' step?</t>
  </si>
  <si>
    <t>To cluster sequences into 97% OTUs based on a reference database</t>
  </si>
  <si>
    <t>To assign taxonomy to every read using a classifier</t>
  </si>
  <si>
    <t>To trim reads and remove low-quality data to resolve exact Amplicon Sequence Variants (ASVs)</t>
  </si>
  <si>
    <t>To align reads to a phylogenetic tree</t>
  </si>
  <si>
    <t>prop_q2_dn_02</t>
  </si>
  <si>
    <t>What is the fundamental difference between DADA2 and Deblur algorithms?</t>
  </si>
  <si>
    <t>DADA2 is for paired-end only; Deblur is for single-end only</t>
  </si>
  <si>
    <t>DADA2 uses a reference database; Deblur does not</t>
  </si>
  <si>
    <t>DADA2 detects and corrects errors; Deblur detects and removes error-containing reads</t>
  </si>
  <si>
    <t>Deblur corrects errors; DADA2 removes error-containing reads</t>
  </si>
  <si>
    <t>prop_q2_dn_03</t>
  </si>
  <si>
    <t>What does the acronym 'ASV' stand for?</t>
  </si>
  <si>
    <t>Amplicon Sequence Variant</t>
  </si>
  <si>
    <t>Average Sequence Value</t>
  </si>
  <si>
    <t>Amplified Sample Variant</t>
  </si>
  <si>
    <t>Aligned Sequence Verification</t>
  </si>
  <si>
    <t>prop_q2_dn_04</t>
  </si>
  <si>
    <t>Which artifact contains the count (frequencies) of each feature observed in each sample?</t>
  </si>
  <si>
    <t>The Representative Sequences</t>
  </si>
  <si>
    <t>The Feature Table</t>
  </si>
  <si>
    <t>The Denoising Stats</t>
  </si>
  <si>
    <t>The Phylogenetic Tree</t>
  </si>
  <si>
    <t>prop_q2_dn_05</t>
  </si>
  <si>
    <t>Which artifact contains the actual DNA nucleotide string for each identified feature?</t>
  </si>
  <si>
    <t>Representative Sequences</t>
  </si>
  <si>
    <t>Feature Table</t>
  </si>
  <si>
    <t>Metadata</t>
  </si>
  <si>
    <t>prop_q2_dn_06</t>
  </si>
  <si>
    <t>What is a major disadvantage of Operational Taxonomic Units (OTUs) compared to ASVs?</t>
  </si>
  <si>
    <t>OTUs are computationally slower to calculate</t>
  </si>
  <si>
    <t>OTUs are defined by a consensus of multiple variants (97%), losing specific biological resolution</t>
  </si>
  <si>
    <t>OTUs require paired-end data</t>
  </si>
  <si>
    <t>OTUs cannot be used for diversity analysis</t>
  </si>
  <si>
    <t>prop_q2_dn_07</t>
  </si>
  <si>
    <t>Why might the quality scores drop towards the 3' end of an Illumina read?</t>
  </si>
  <si>
    <t>The DNA degrades over time</t>
  </si>
  <si>
    <t>De-synchronization (phasing) of the clusters accumulates as the cycle number increases</t>
  </si>
  <si>
    <t>The camera loses focus</t>
  </si>
  <si>
    <t>The flow cell runs out of nucleotides</t>
  </si>
  <si>
    <t>prop_q2_dn_08</t>
  </si>
  <si>
    <t>The technique used to randomly sub-sample reads from each study sample in order to end up with an equal number of reads per sample is called:</t>
  </si>
  <si>
    <t>Demultiplexing</t>
  </si>
  <si>
    <t>Denoising</t>
  </si>
  <si>
    <t>Rarefaction</t>
  </si>
  <si>
    <t>Interactive Sampling</t>
  </si>
  <si>
    <t>prop_q2_dn_09</t>
  </si>
  <si>
    <t>In the context of the QIIME2 workflow, what step immediately precedes Denoising?</t>
  </si>
  <si>
    <t>Taxonomy Classification</t>
  </si>
  <si>
    <t>Phylogeny construction</t>
  </si>
  <si>
    <t>Diversity Analysis</t>
  </si>
  <si>
    <t>mile_q2_dn_01</t>
  </si>
  <si>
    <t>In QIIME 2, after demultiplexing, the interactive quality plot is used to determine at what base pair to truncate reads. Why are reads truncated?</t>
  </si>
  <si>
    <t>Because a long DNA sequence isn't required for downstream analysis</t>
  </si>
  <si>
    <t>Because the truncated regions represent the constant regions of the 16S rRNA gene</t>
  </si>
  <si>
    <t>Because DNA sequences with poor-quality segments will not pass downstream quality filters</t>
  </si>
  <si>
    <t>Because reads are too big for downstream analysis</t>
  </si>
  <si>
    <t>mile_q2_dn_02</t>
  </si>
  <si>
    <t>In QIIME 2, the FeatureTable can be used to define the sampling depth. When calculating diversity metrics, the sampling depth should be set to a level where:</t>
  </si>
  <si>
    <t>Samples with lower numbers of reads are excluded from the analysis, while retaining sufficient samples to study the metadata category of interest</t>
  </si>
  <si>
    <t>Samples with too many reads are excluded from the analysis</t>
  </si>
  <si>
    <t>Excluding all samples that don't apply to the metadata category you are interested in</t>
  </si>
  <si>
    <t>Samples will lower number of reads are excluded from the analysis, while also excluding samples containing irrelevant metadata</t>
  </si>
  <si>
    <t>mile_q2_dn_03</t>
  </si>
  <si>
    <t>After demultiplexing, you get the graph below. What would be the ideal trimming parameters for denoising?</t>
  </si>
  <si>
    <t>Trim to around 150-180</t>
  </si>
  <si>
    <t>Trim to around 220-260</t>
  </si>
  <si>
    <t>Trim to around 280-300</t>
  </si>
  <si>
    <t>No trimming is needed here</t>
  </si>
  <si>
    <t>mile_q2_dn_04</t>
  </si>
  <si>
    <t>Consider a scenario where you decided to trim some bases from the right side of each read, but your classmate did not trim at all. Who is more likely to retain more reads after DADA2 denoising?</t>
  </si>
  <si>
    <t>You</t>
  </si>
  <si>
    <t>Your classmate</t>
  </si>
  <si>
    <t>Same number</t>
  </si>
  <si>
    <t>It would not matter</t>
  </si>
  <si>
    <t>mile_q2_dn_05</t>
  </si>
  <si>
    <t>Based only on the alpha rarefaction curve below (plateau at 3000), setting a sampling depth of ~4000 will work assuming you retain many samples.</t>
  </si>
  <si>
    <t>I would choose 6000</t>
  </si>
  <si>
    <t>Setting a sampling depth would be wrong</t>
  </si>
  <si>
    <t>mile_q2_dn_06</t>
  </si>
  <si>
    <t>Based on the code snippet, which flag (input) is used to specify the input data for the DADA2 command?</t>
  </si>
  <si>
    <t>mile_q2_dn_07</t>
  </si>
  <si>
    <t>What does the parameter `--p-trim-left 0` indicate in the DADA2 command?</t>
  </si>
  <si>
    <t>No bases will be trimmed from the start</t>
  </si>
  <si>
    <t>The reads will be trimmed to 0 length</t>
  </si>
  <si>
    <t>The first base will be removed</t>
  </si>
  <si>
    <t>The primers will be removed automatically</t>
  </si>
  <si>
    <t>mile_q2_dn_08</t>
  </si>
  <si>
    <t>You are comparing your study to a paper published in 2013 that used 97% OTUs. Can you directly compare your ASVs to their OTUs?</t>
  </si>
  <si>
    <t>Yes, they are the same</t>
  </si>
  <si>
    <t>No, OTUs rely on reference databases and thresholds</t>
  </si>
  <si>
    <t>Yes, if you divide by 97</t>
  </si>
  <si>
    <t>Only if you use Deblur</t>
  </si>
  <si>
    <t>mile_q2_dn_09</t>
  </si>
  <si>
    <t>You run DADA2 and your `stats.qza` shows you lost 90% of reads at the 'Filtering' step. What is the most likely cause?</t>
  </si>
  <si>
    <t>You trimmed too much</t>
  </si>
  <si>
    <t>Your primers were missing</t>
  </si>
  <si>
    <t>Your `--p-trunc-len` included too much low-quality data</t>
  </si>
  <si>
    <t>Your taxonomy failed</t>
  </si>
  <si>
    <t>mile_q2_dn_10</t>
  </si>
  <si>
    <t>In the command `qiime dada2 denoise-single`, what is the function of the `--p-trunc-len` parameter?</t>
  </si>
  <si>
    <t>It filters reads based on Phred score</t>
  </si>
  <si>
    <t>It trims bases from the start (5' end)</t>
  </si>
  <si>
    <t>It removes chimeras</t>
  </si>
  <si>
    <t>It truncates reads at a specific position (3' end)</t>
  </si>
  <si>
    <t>survey_q2_dn_01</t>
  </si>
  <si>
    <t>Which statement best summarizes the shift from OTUs to ASVs in microbiome research?</t>
  </si>
  <si>
    <t>We moved from exact sequences to clusters</t>
  </si>
  <si>
    <t>We moved away from using 16S</t>
  </si>
  <si>
    <t>We moved from 'fuzzy' clusters to 'exact' variants</t>
  </si>
  <si>
    <t>We stopped using quality control</t>
  </si>
  <si>
    <t>survey_q2_dn_02</t>
  </si>
  <si>
    <t>Why is the `denoising-stats.qza` file helpful when validating your analysis pipeline?</t>
  </si>
  <si>
    <t>It provides the taxonomy</t>
  </si>
  <si>
    <t>It reveals exactly where data loss occurred</t>
  </si>
  <si>
    <t>It provides the PCoA plot</t>
  </si>
  <si>
    <t>It lists the samples</t>
  </si>
  <si>
    <t>survey_q2_dn_03</t>
  </si>
  <si>
    <t>You are designing an analysis plan. Why would you use ASVs over OTUs?</t>
  </si>
  <si>
    <t>To run faster</t>
  </si>
  <si>
    <t>To use less memory</t>
  </si>
  <si>
    <t>To avoid using a computer</t>
  </si>
  <si>
    <t>To detect strain-level variation (1-2 nt)</t>
  </si>
  <si>
    <t>survey_q2_dn_04</t>
  </si>
  <si>
    <t>In the overall QIIME2 workflow, why are 'Representative Sequences' and 'Feature Table' generated as separate files?</t>
  </si>
  <si>
    <t>They are duplicates</t>
  </si>
  <si>
    <t>One is for R, one is for Python</t>
  </si>
  <si>
    <t>The Table has counts; Rep Seqs has DNA strings</t>
  </si>
  <si>
    <t>One is for bacteria, one for fungi</t>
  </si>
  <si>
    <t>prop_tax_bio_01</t>
  </si>
  <si>
    <t>What is the primary biological function of a taxonomic classifier in microbiome analysis?</t>
  </si>
  <si>
    <t>To align sequences to a tree</t>
  </si>
  <si>
    <t>To remove sequencing errors</t>
  </si>
  <si>
    <t>To predict taxonomy from sequences</t>
  </si>
  <si>
    <t>To cluster similar reads</t>
  </si>
  <si>
    <t>prop_tax_bio_02</t>
  </si>
  <si>
    <t>What does the SILVA database primarily contain?</t>
  </si>
  <si>
    <t>Metabolic pathway maps</t>
  </si>
  <si>
    <t>16S rRNA sequences</t>
  </si>
  <si>
    <t>Whole genome sequences</t>
  </si>
  <si>
    <t>Protein coding sequences</t>
  </si>
  <si>
    <t>prop_tax_bio_03</t>
  </si>
  <si>
    <t>Why are 'Mitochondria' sequences often found in 16S amplicon datasets?</t>
  </si>
  <si>
    <t>They are viral contaminants</t>
  </si>
  <si>
    <t>They are rare soil bacteria</t>
  </si>
  <si>
    <t>They are sequencing artifacts</t>
  </si>
  <si>
    <t>They share ancestry with bacteria</t>
  </si>
  <si>
    <t>prop_tax_bio_05</t>
  </si>
  <si>
    <t>What is a 'Rare Feature' in the context of data filtering?</t>
  </si>
  <si>
    <t>A feature found in all samples</t>
  </si>
  <si>
    <t>A feature with very low counts</t>
  </si>
  <si>
    <t>A feature that is unassigned</t>
  </si>
  <si>
    <t>A feature that is pathogenic</t>
  </si>
  <si>
    <t>prop_tax_bio_06</t>
  </si>
  <si>
    <t>Which of these is a valid reason to filter samples based on Metadata?</t>
  </si>
  <si>
    <t>To remove samples with low diversity</t>
  </si>
  <si>
    <t>To remove samples with high error rates</t>
  </si>
  <si>
    <t>To remove samples that are irrelevant to your research question</t>
  </si>
  <si>
    <t>To remove samples with chimeras</t>
  </si>
  <si>
    <t>prop_tax_bio_07</t>
  </si>
  <si>
    <t>Does assigning taxonomy change the read counts in your Feature Table?</t>
  </si>
  <si>
    <t>Yes, it removes unassigned reads</t>
  </si>
  <si>
    <t>Yes, it merges similar features</t>
  </si>
  <si>
    <t>No, it only adds labels to features</t>
  </si>
  <si>
    <t>Yes, it rarefies the samples</t>
  </si>
  <si>
    <t>prop_tax_bio_09</t>
  </si>
  <si>
    <t>What does the label 'Unassigned' usually indicate?</t>
  </si>
  <si>
    <t>The sequence matches E. coli</t>
  </si>
  <si>
    <t>The sequence is a chimera</t>
  </si>
  <si>
    <t>The sequence is a virus</t>
  </si>
  <si>
    <t>The sequence has no good quality match</t>
  </si>
  <si>
    <t>prop_tax_bio_10</t>
  </si>
  <si>
    <t>Which file is used to 'Train' the taxonomic classifier?</t>
  </si>
  <si>
    <t>The Feature Table file</t>
  </si>
  <si>
    <t>The Reference Database file</t>
  </si>
  <si>
    <t>The Sample Metadata file</t>
  </si>
  <si>
    <t>The Phylogeny Tree file</t>
  </si>
  <si>
    <t>mile_tax_bio_01</t>
  </si>
  <si>
    <t>You use V4 primers for PCR but train your classifier on the full-length 16S gene. What is the likely outcome?</t>
  </si>
  <si>
    <t>Accuracy decreases due to pattern mismatch</t>
  </si>
  <si>
    <t>Accuracy increases due to more information</t>
  </si>
  <si>
    <t>The analysis fails to run completely</t>
  </si>
  <si>
    <t>The result is exactly the same</t>
  </si>
  <si>
    <t>mile_tax_bio_02</t>
  </si>
  <si>
    <t>Your primers have a mismatch with *Species D*. According to the diagram, what is the result?</t>
  </si>
  <si>
    <t>*Species D* is classified as *Species A*</t>
  </si>
  <si>
    <t>*Species D* is detected as 'Unassigned'</t>
  </si>
  <si>
    <t>*Species D* is not amplified or detected</t>
  </si>
  <si>
    <t>*Species D* is detected with errors</t>
  </si>
  <si>
    <t>mile_tax_bio_03</t>
  </si>
  <si>
    <t>Why is it good to filter rare ASVs before performing statistical testing?</t>
  </si>
  <si>
    <t>To reduce the multiple testing correction burden</t>
  </si>
  <si>
    <t>To remove the mitochondrial contamination</t>
  </si>
  <si>
    <t>To increase the total number of features</t>
  </si>
  <si>
    <t>To fix the taxonomic assignment errors</t>
  </si>
  <si>
    <t>mile_tax_bio_04</t>
  </si>
  <si>
    <t>A sample contains 99% 'Mitochondria' reads. What is one way this will affect the bacterial analysis?</t>
  </si>
  <si>
    <t>It increases the bacterial read count</t>
  </si>
  <si>
    <t>It improves the diversity estimate</t>
  </si>
  <si>
    <t>It drastically reduces useful depth</t>
  </si>
  <si>
    <t>It has no effect on the analysis</t>
  </si>
  <si>
    <t>mile_tax_bio_05</t>
  </si>
  <si>
    <t>Why is `extract-reads` preferred over using the full database for training?</t>
  </si>
  <si>
    <t>It aligns short reads to long references</t>
  </si>
  <si>
    <t>It matches reference length to read length</t>
  </si>
  <si>
    <t>It removes all chimeras from the database</t>
  </si>
  <si>
    <t>It adds diversity to the reference set</t>
  </si>
  <si>
    <t>mile_tax_bio_06</t>
  </si>
  <si>
    <t>You find 'Chloroplast' sequences in a human gut sample. What is the source?</t>
  </si>
  <si>
    <t>It is a pathogen</t>
  </si>
  <si>
    <t>It is dietary DNA</t>
  </si>
  <si>
    <t>It is a virus</t>
  </si>
  <si>
    <t>It is human DNA</t>
  </si>
  <si>
    <t>mile_tax_bio_07</t>
  </si>
  <si>
    <t>What does an empty taxonomic rank (e.g., `p__Proteobacteria; c__;`) imply?</t>
  </si>
  <si>
    <t>The sequence matches a new phylum</t>
  </si>
  <si>
    <t>The database contains an error</t>
  </si>
  <si>
    <t>The confidence was too low to assign Class</t>
  </si>
  <si>
    <t>The sequence is definitely a chimera</t>
  </si>
  <si>
    <t>mile_tax_bio_08</t>
  </si>
  <si>
    <t>How should the 'Truncation Length' for the classifier compare to your data?</t>
  </si>
  <si>
    <t>It should be much shorter than your reads</t>
  </si>
  <si>
    <t>It should be much longer than your reads</t>
  </si>
  <si>
    <t>It should match the biological read length</t>
  </si>
  <si>
    <t>It does not matter for classification</t>
  </si>
  <si>
    <t>mile_tax_bio_09</t>
  </si>
  <si>
    <t>Why might a valid biological sequence be labeled 'Unassigned'?</t>
  </si>
  <si>
    <t>It is a known pathogen</t>
  </si>
  <si>
    <t>It is a primer dimer</t>
  </si>
  <si>
    <t>It is a sequencing error</t>
  </si>
  <si>
    <t>It represents a novel microbe</t>
  </si>
  <si>
    <t>mile_tax_bio_10</t>
  </si>
  <si>
    <t>What bias is introduced if you do not remove Mitochondria?</t>
  </si>
  <si>
    <t>It skews relative abundance profiles</t>
  </si>
  <si>
    <t>It creates false diversity</t>
  </si>
  <si>
    <t>It removes rare taxa</t>
  </si>
  <si>
    <t>It causes Phasing</t>
  </si>
  <si>
    <t>survey_tax_bio_01</t>
  </si>
  <si>
    <t>What is the correct order for preparing a classifier?</t>
  </si>
  <si>
    <t>Train model -&gt; Extract 16S region -&gt; Import database</t>
  </si>
  <si>
    <t xml:space="preserve">Extract 16S region -&gt; Import database -&gt; Train model </t>
  </si>
  <si>
    <t>Import database -&gt; Extract 16S region -&gt; Train model</t>
  </si>
  <si>
    <t>Import database -&gt; Train model -&gt; Extract 16S region</t>
  </si>
  <si>
    <t>survey_tax_bio_03</t>
  </si>
  <si>
    <t>If you change PCR primers, what must you do to the classifier?</t>
  </si>
  <si>
    <t>Nothing, it is universal</t>
  </si>
  <si>
    <t>Use a different database</t>
  </si>
  <si>
    <t>Re-train on new primers</t>
  </si>
  <si>
    <t>Rename the old classifier</t>
  </si>
  <si>
    <t>survey_tax_bio_04</t>
  </si>
  <si>
    <t>What is the main risk of keeping 'rare features' in your data?</t>
  </si>
  <si>
    <t>The file size is too big</t>
  </si>
  <si>
    <t>They inflate diversity metrics</t>
  </si>
  <si>
    <t>They reduce the read count</t>
  </si>
  <si>
    <t>They cause taxonomy errors</t>
  </si>
  <si>
    <t>prop_tax_q2_01</t>
  </si>
  <si>
    <t>Based on the code snippet, which specific artifact (file) is the input for the `qiime feature-classifier classify-sklearn` command?</t>
  </si>
  <si>
    <t>The Feature Table (`table.qza`)</t>
  </si>
  <si>
    <t>The Representative Sequences (`rep-seqs.qza`)</t>
  </si>
  <si>
    <t>The Taxonomy (`taxonomy.qza`)</t>
  </si>
  <si>
    <t>The Metadata file</t>
  </si>
  <si>
    <t>prop_tax_q2_02</t>
  </si>
  <si>
    <t>What is the primary output artifact of the `classify-sklearn` command?</t>
  </si>
  <si>
    <t>A visualization (`.qzv`) of the barplots</t>
  </si>
  <si>
    <t>A new Feature Table with taxonomy added</t>
  </si>
  <si>
    <t>A Taxonomy artifact (`taxonomy.qza`) linking Feature IDs to taxonomic names</t>
  </si>
  <si>
    <t>A phylogenetic tree</t>
  </si>
  <si>
    <t>prop_tax_q2_03</t>
  </si>
  <si>
    <t>To create a visual Taxa Barplot, which two artifacts (files) MUST be provided as inputs?</t>
  </si>
  <si>
    <t>Feature Table and Taxonomy</t>
  </si>
  <si>
    <t>Representative Sequences and Taxonomy</t>
  </si>
  <si>
    <t>Feature Table and Tree</t>
  </si>
  <si>
    <t>Metadata and Taxonomy</t>
  </si>
  <si>
    <t>prop_tax_q2_04</t>
  </si>
  <si>
    <t>What does the command `qiime metadata tabulate` do with the `taxonomy.qza` file?</t>
  </si>
  <si>
    <t>It filters the taxonomy</t>
  </si>
  <si>
    <t>It converts it into an interactive visualization (`.qzv`) that can be viewed</t>
  </si>
  <si>
    <t>It trains the classifier</t>
  </si>
  <si>
    <t>It merges it with the table</t>
  </si>
  <si>
    <t>prop_tax_q2_05</t>
  </si>
  <si>
    <t>In the `qiime taxa filter-table` command, what does the parameter `--p-exclude` do?</t>
  </si>
  <si>
    <t>It keeps only the taxa that match the term</t>
  </si>
  <si>
    <t>It removes any feature whose taxonomic annotation contains the specified term</t>
  </si>
  <si>
    <t>It renames the taxa</t>
  </si>
  <si>
    <t>It filters based on sample metadata</t>
  </si>
  <si>
    <t>prop_tax_q2_06</t>
  </si>
  <si>
    <t>What is the purpose of filtering features based on 'Minimum Frequency' (e.g. &lt; 8 reads)?</t>
  </si>
  <si>
    <t>To remove samples with low depth</t>
  </si>
  <si>
    <t>To remove rare ASVs that are likely sequencing errors or non-informative</t>
  </si>
  <si>
    <t>To remove mitochondria</t>
  </si>
  <si>
    <t>To remove unassigned taxa</t>
  </si>
  <si>
    <t>prop_tax_q2_07</t>
  </si>
  <si>
    <t>Which command is used to filter samples based on metadata criteria (e.g., keeping only 'subject-1')?</t>
  </si>
  <si>
    <t>qiime feature-table filter-features</t>
  </si>
  <si>
    <t>qiime taxa filter-table</t>
  </si>
  <si>
    <t>qiime feature-table filter-samples</t>
  </si>
  <si>
    <t>qiime metadata tabulate</t>
  </si>
  <si>
    <t>prop_tax_q2_08</t>
  </si>
  <si>
    <t>In the filtering example `[subject]='subject-1'`, what does the syntax `[subject]` represent?</t>
  </si>
  <si>
    <t>The value to search for</t>
  </si>
  <si>
    <t>The column header in the metadata file</t>
  </si>
  <si>
    <t>The name of the feature</t>
  </si>
  <si>
    <t>The output filename</t>
  </si>
  <si>
    <t>prop_tax_q2_09</t>
  </si>
  <si>
    <t>Look at the PCoA plots 'Before filtering' and 'After filtering'. What happens to the sample clustering?</t>
  </si>
  <si>
    <t>The clustering becomes less distinct</t>
  </si>
  <si>
    <t>The clustering remains exactly the same</t>
  </si>
  <si>
    <t>The clustering becomes clearer and more distinct (e.g., Cluster 1 separates from Cluster 3)</t>
  </si>
  <si>
    <t>The samples disappear</t>
  </si>
  <si>
    <t>prop_tax_q2_10</t>
  </si>
  <si>
    <t>Why might you need to supply a `metadata.txt` file when generating a Taxa Barplot?</t>
  </si>
  <si>
    <t>To determine the colors of the bars</t>
  </si>
  <si>
    <t>To allow sorting and grouping of samples by experimental categories in the visualization</t>
  </si>
  <si>
    <t>To filter the data</t>
  </si>
  <si>
    <t>To name the output file</t>
  </si>
  <si>
    <t>mile_tax_q2_01</t>
  </si>
  <si>
    <t>You run `classify-sklearn` but get an "invalid input" error. You used `--i-reads table.qza`. Why did it fail?</t>
  </si>
  <si>
    <t>The command requires the Metadata file, not the Table</t>
  </si>
  <si>
    <t>The command requires the Tree artifact</t>
  </si>
  <si>
    <t>The file extension should be .qzv</t>
  </si>
  <si>
    <t>The command requires the Representative Sequences file (rep-seqs.qza).</t>
  </si>
  <si>
    <t>mile_tax_q2_02</t>
  </si>
  <si>
    <t>In the `filter-features` command, you set `--p-min-frequency 8`. What exactly does this filter remove?</t>
  </si>
  <si>
    <t>Any feature (ASV) appearing fewer than 8 times total</t>
  </si>
  <si>
    <t>Any sample with fewer than 8 reads total</t>
  </si>
  <si>
    <t>Any feature that appears in fewer than 8 samples</t>
  </si>
  <si>
    <t>Any feature that is not a bacteria</t>
  </si>
  <si>
    <t>mile_tax_q2_03</t>
  </si>
  <si>
    <t>You used `qiime taxa filter-table --p-include mitochondria` to remove mitochondria, but the output only contains mitochondria. Why?</t>
  </si>
  <si>
    <t>The command is broken</t>
  </si>
  <si>
    <t>The database only has mitochondria</t>
  </si>
  <si>
    <t>You should have used `--p-exclude` instead</t>
  </si>
  <si>
    <t>You misspelled mitochondria</t>
  </si>
  <si>
    <t>mile_tax_q2_04</t>
  </si>
  <si>
    <t>You want to filter your data using QIIME2 to keep only samples from the 'gut'. What is the correct `--p-where` syntax? (Refer to the 'Metadata-based filtering' slide for more info)</t>
  </si>
  <si>
    <t>`BodySite='gut'`</t>
  </si>
  <si>
    <t>`"[BodySite]='gut'"`</t>
  </si>
  <si>
    <t>`"BodySite"='gut'`</t>
  </si>
  <si>
    <t>`--p-include gut`</t>
  </si>
  <si>
    <t>mile_tax_q2_05</t>
  </si>
  <si>
    <t>Why is it best to remove samples with low read counts AFTER filtering features (e.g., mitochondria)?</t>
  </si>
  <si>
    <t>Feature filtering does not affect sample counts</t>
  </si>
  <si>
    <t>You should filter samples first</t>
  </si>
  <si>
    <t>It makes the file larger</t>
  </si>
  <si>
    <t>Feature filtering can leave some samples empty</t>
  </si>
  <si>
    <t>mile_tax_q2_06</t>
  </si>
  <si>
    <t>In the `taxa barplot` function, what is the purpose of `--o-visualization`?</t>
  </si>
  <si>
    <t>It specifies the name of the output file</t>
  </si>
  <si>
    <t>It specifies the input table</t>
  </si>
  <si>
    <t>It specifies the metadata</t>
  </si>
  <si>
    <t>It runs the command</t>
  </si>
  <si>
    <t>mile_tax_q2_07</t>
  </si>
  <si>
    <t>You trained a classifier on 150bp fragments but denoised your data at 250bp. Why might classification accuracy be poor?</t>
  </si>
  <si>
    <t>The database is wrong</t>
  </si>
  <si>
    <t>The primers are wrong</t>
  </si>
  <si>
    <t>The classifier learned shorter patterns than the data contains</t>
  </si>
  <si>
    <t>The classifier is too accurate</t>
  </si>
  <si>
    <t>mile_tax_q2_09</t>
  </si>
  <si>
    <t>If you have a 'Taxonomy' artifact (`taxonomy.qza`) but no 'Feature Table', can you generate a Barplot?</t>
  </si>
  <si>
    <t>Yes, if you have metadata</t>
  </si>
  <si>
    <t>No, you need the tree</t>
  </si>
  <si>
    <t>No, you need the Table to provide the counts</t>
  </si>
  <si>
    <t>Yes, the taxonomy is sufficient</t>
  </si>
  <si>
    <t>mile_tax_q2_10</t>
  </si>
  <si>
    <t>When filtering features, why is a percentage threshold (e.g. &lt;0.01%) often preferred over a hard count?</t>
  </si>
  <si>
    <t>It removes more data</t>
  </si>
  <si>
    <t>It keeps more data</t>
  </si>
  <si>
    <t>It accounts for differences in total sequencing depth</t>
  </si>
  <si>
    <t>It is harder to calculate</t>
  </si>
  <si>
    <t>survey_tax_q2_01</t>
  </si>
  <si>
    <t>You are writing a script to automate taxonomy assignment. Which order of commands is logical?</t>
  </si>
  <si>
    <t>`fit-classifier` -&gt; `classify-sklearn` -&gt; `extract-reads`</t>
  </si>
  <si>
    <t>`extract-reads` -&gt; `fit-classifier` -&gt; `classify-sklearn`</t>
  </si>
  <si>
    <t>`classify-sklearn` -&gt; `fit-classifier` -&gt; `extract-reads`</t>
  </si>
  <si>
    <t>`taxa barplot` -&gt; `classify-sklearn` -&gt; `extract-reads`</t>
  </si>
  <si>
    <t>survey_tax_q2_02</t>
  </si>
  <si>
    <t>Why do we visualize `taxonomy.qza` using `metadata tabulate` instead of just opening the file?</t>
  </si>
  <si>
    <t>It aligns the sequences</t>
  </si>
  <si>
    <t>It removes errors</t>
  </si>
  <si>
    <t>It is faster</t>
  </si>
  <si>
    <t>`.qza` files are binary archives not readable by text editors</t>
  </si>
  <si>
    <t>survey_tax_q2_04</t>
  </si>
  <si>
    <t>How does the `--p-where` parameter in `filter-samples` enhance analysis flexibility?</t>
  </si>
  <si>
    <t>It allows filtering by sequence length</t>
  </si>
  <si>
    <t>It allows filtering by quality score</t>
  </si>
  <si>
    <t>It allows subsetting using logical metadata expressions</t>
  </si>
  <si>
    <t>It allows filtering by taxonomy</t>
  </si>
  <si>
    <t>survey_tax_q2_05</t>
  </si>
  <si>
    <t>What is the consequence of failing to provide the `--m-metadata-file` to `qiime taxa barplot`?</t>
  </si>
  <si>
    <t>The command will fail</t>
  </si>
  <si>
    <t>The plot creates a flat list, not sorted by group</t>
  </si>
  <si>
    <t>The plot will be black and white</t>
  </si>
  <si>
    <t>The taxonomy will be wrong</t>
  </si>
  <si>
    <t>prop_div_bio_01</t>
  </si>
  <si>
    <t>What is the fundamental definition of Alpha Diversity?</t>
  </si>
  <si>
    <t>The variation of microbes within a single sample</t>
  </si>
  <si>
    <t>The variation of microbes between different samples</t>
  </si>
  <si>
    <t>The total number of sequences in a run</t>
  </si>
  <si>
    <t>The phylogenetic distance between two species</t>
  </si>
  <si>
    <t>prop_div_bio_02</t>
  </si>
  <si>
    <t>What does 'Richness' specifically measure in a microbial community?</t>
  </si>
  <si>
    <t>The uniformity of species distribution</t>
  </si>
  <si>
    <t>The count of distinct species present</t>
  </si>
  <si>
    <t>The phylogenetic relatedness of taxa</t>
  </si>
  <si>
    <t>The total number of reads sequenced</t>
  </si>
  <si>
    <t>prop_div_bio_03</t>
  </si>
  <si>
    <t>Which metric quantifies how uniformly species are distributed in a community?</t>
  </si>
  <si>
    <t>Observed Features</t>
  </si>
  <si>
    <t>Phylogenetic Diversity</t>
  </si>
  <si>
    <t>Pielou's Evenness</t>
  </si>
  <si>
    <t>Jaccard Distance</t>
  </si>
  <si>
    <t>prop_div_bio_04</t>
  </si>
  <si>
    <t>What does the Jaccard distance metric measure?</t>
  </si>
  <si>
    <t>Dissimilarity based on abundance</t>
  </si>
  <si>
    <t>Dissimilarity based on phylogeny</t>
  </si>
  <si>
    <t>Dissimilarity based on presence/absence</t>
  </si>
  <si>
    <t>Similarity based on shared DNA</t>
  </si>
  <si>
    <t>prop_div_bio_05</t>
  </si>
  <si>
    <t>How does Weighted UniFrac differ from Unweighted UniFrac?</t>
  </si>
  <si>
    <t>Unweighted uses phylogeny; Weighted does not</t>
  </si>
  <si>
    <t>Weighted uses abundance; Unweighted does not</t>
  </si>
  <si>
    <t>Weighted uses a tree; Unweighted does not</t>
  </si>
  <si>
    <t>Unweighted uses counts; Weighted does not</t>
  </si>
  <si>
    <t>prop_div_bio_06</t>
  </si>
  <si>
    <t>What does a Principal Coordinate Analysis (PCoA) plot represent?</t>
  </si>
  <si>
    <t>A visualization of Alpha diversity</t>
  </si>
  <si>
    <t>A phylogenetic tree of all species</t>
  </si>
  <si>
    <t>A bar chart of the most abundant taxa</t>
  </si>
  <si>
    <t>A 2D summary of sample dissimilarity</t>
  </si>
  <si>
    <t>prop_div_bio_07</t>
  </si>
  <si>
    <t>What is the purpose of 'Rarefaction' in diversity analysis?</t>
  </si>
  <si>
    <t>To filter out chimeric sequences</t>
  </si>
  <si>
    <t>To normalize sequencing depth</t>
  </si>
  <si>
    <t>To assign taxonomy to sequences</t>
  </si>
  <si>
    <t>To create a phylogenetic tree</t>
  </si>
  <si>
    <t>prop_div_bio_08</t>
  </si>
  <si>
    <t>In a boxplot, what does the 'Interquartile Range' (IQR) represent?</t>
  </si>
  <si>
    <t>The full range of the data</t>
  </si>
  <si>
    <t>The difference between min and max</t>
  </si>
  <si>
    <t>The middle 50% of the data distribution</t>
  </si>
  <si>
    <t>The average value of the dataset</t>
  </si>
  <si>
    <t>prop_div_bio_09</t>
  </si>
  <si>
    <t>Which Alpha diversity metric incorporates phylogenetic relationships?</t>
  </si>
  <si>
    <t>Faith's Phylogenetic Diversity</t>
  </si>
  <si>
    <t>Shannon's Diversity Index</t>
  </si>
  <si>
    <t>prop_div_bio_10</t>
  </si>
  <si>
    <t>What does 'Sequencing Depth' refer to?</t>
  </si>
  <si>
    <t>The length of the DNA fragment</t>
  </si>
  <si>
    <t>The number of species found in a sample</t>
  </si>
  <si>
    <t>The number of reads designated for rarefaction</t>
  </si>
  <si>
    <t>The total count of reads sequenced per sample</t>
  </si>
  <si>
    <t>mile_div_bio_01</t>
  </si>
  <si>
    <t>Compare Community A (5 species, equal abundance) and Community B (5 species, dominated by one). Which statement is true?</t>
  </si>
  <si>
    <t>Community A has higher richness than Community B</t>
  </si>
  <si>
    <t>Community B has higher evenness than Community A</t>
  </si>
  <si>
    <t>Community A is more diverse due to higher evenness</t>
  </si>
  <si>
    <t>Community B is more diverse due to dominant species</t>
  </si>
  <si>
    <t>mile_div_bio_02</t>
  </si>
  <si>
    <t>Why is 'Observed Features' a poor metric for distinguishing communities with different evolutionary histories?</t>
  </si>
  <si>
    <t>It is too sensitive to evenness</t>
  </si>
  <si>
    <t>It requires a phylogenetic tree</t>
  </si>
  <si>
    <t>It cannot handle large datasets</t>
  </si>
  <si>
    <t>It treats all species as equally distinct</t>
  </si>
  <si>
    <t>mile_div_bio_03</t>
  </si>
  <si>
    <t>What does it mean when the alpha rarefaction curve plateaus (flattens out)?</t>
  </si>
  <si>
    <t>You have sequenced enough to capture most diversity</t>
  </si>
  <si>
    <t>You have not sequenced enough to capture diversity</t>
  </si>
  <si>
    <t>The sample has very low quality scores</t>
  </si>
  <si>
    <t>The sample contains no bacterial DNA</t>
  </si>
  <si>
    <t>mile_div_bio_04</t>
  </si>
  <si>
    <t>You want to determine if communities differ specifically by the presence of *rare* taxa. Which metric is best?</t>
  </si>
  <si>
    <t>Weighted UniFrac</t>
  </si>
  <si>
    <t>Bray-Curtis</t>
  </si>
  <si>
    <t>Unweighted UniFrac</t>
  </si>
  <si>
    <t>Shannon Index</t>
  </si>
  <si>
    <t>mile_div_bio_05</t>
  </si>
  <si>
    <t>In a PCoA plot, what does 'PC1 (57%)' tell you compared to 'PC2 (12%)'?</t>
  </si>
  <si>
    <t>Axis 2 is more important for clustering</t>
  </si>
  <si>
    <t>Axis 1 explains most of the variation</t>
  </si>
  <si>
    <t>Both axes are equally important</t>
  </si>
  <si>
    <t>The percentages represent error rates</t>
  </si>
  <si>
    <t>mile_div_bio_06</t>
  </si>
  <si>
    <t>If you set your Rarefaction 'Sampling Depth' too low (e.g., 100 reads), what is the risk?</t>
  </si>
  <si>
    <t>You will retain too many samples</t>
  </si>
  <si>
    <t>You will increase the diversity artificially</t>
  </si>
  <si>
    <t>You will improve the statistical power</t>
  </si>
  <si>
    <t>You will lose biological resolution</t>
  </si>
  <si>
    <t>mile_div_bio_07</t>
  </si>
  <si>
    <t>Why do we use a 'q-value' (FDR) instead of a raw 'p-value' in microbiome studies?</t>
  </si>
  <si>
    <t>To correct for multiple comparisons</t>
  </si>
  <si>
    <t>To make the results significant</t>
  </si>
  <si>
    <t>To ignore the sample size</t>
  </si>
  <si>
    <t>To account for phylogeny</t>
  </si>
  <si>
    <t>mile_div_bio_10</t>
  </si>
  <si>
    <t>Why might 'Shannon Diversity' be low even if 'Observed Features' (Richness) is high?</t>
  </si>
  <si>
    <t>Because the phylogeny is diverse</t>
  </si>
  <si>
    <t>Because the sample size is small</t>
  </si>
  <si>
    <t>Because the community is very even</t>
  </si>
  <si>
    <t>Because the community is uneven</t>
  </si>
  <si>
    <t>survey_div_bio_01</t>
  </si>
  <si>
    <t>Community A is 50% X / 50% Y. Community B is 99% X / 1% Y. Which metric shows them as VERY different?</t>
  </si>
  <si>
    <t>Jaccard Index</t>
  </si>
  <si>
    <t>survey_div_bio_02</t>
  </si>
  <si>
    <t>If your alpha rarefaction curve continues to rise steeply at max sequencing depth, what is the conclusion?</t>
  </si>
  <si>
    <t>The community is simple and deeply sequenced</t>
  </si>
  <si>
    <t>The sequencing run failed completely</t>
  </si>
  <si>
    <t>The sample is empty of bacteria</t>
  </si>
  <si>
    <t>The community is undersampled</t>
  </si>
  <si>
    <t>survey_div_bio_03</t>
  </si>
  <si>
    <t>In a PCoA plot, samples from 'Subject 1' cluster tightly, far away from 'Subject 2'. What does this mean?</t>
  </si>
  <si>
    <t>Subject 1 has lower alpha diversity</t>
  </si>
  <si>
    <t>Subject 1 has more DNA than Subject 2</t>
  </si>
  <si>
    <t>Subject 1 is distinct from Subject 2</t>
  </si>
  <si>
    <t>Subject 1 has lower beta diversity than Subject 2</t>
  </si>
  <si>
    <t>survey_div_bio_04</t>
  </si>
  <si>
    <t>Why is the 'q-value' (FDR) often more relevant than the raw 'p-value' in diversity analysis?</t>
  </si>
  <si>
    <t>It corrects for multiple testing errors</t>
  </si>
  <si>
    <t>It is easier to calculate manually</t>
  </si>
  <si>
    <t>It is always smaller than the p-value</t>
  </si>
  <si>
    <t>It ignores the sample size</t>
  </si>
  <si>
    <t>survey_div_bio_05</t>
  </si>
  <si>
    <t>To measure Alpha Diversity while accounting for evolutionary relatedness, which metric must you use?</t>
  </si>
  <si>
    <t>prop_div_q2_01</t>
  </si>
  <si>
    <t>Which QIIME 2 command runs a complete pipeline to generate multiple alpha and beta diversity metrics at once?</t>
  </si>
  <si>
    <t>qiime diversity alpha-rarefaction</t>
  </si>
  <si>
    <t>qiime diversity alpha-group-significance</t>
  </si>
  <si>
    <t>qiime diversity core-metrics-phylogenetic</t>
  </si>
  <si>
    <t>qiime diversity beta-group-significance</t>
  </si>
  <si>
    <t>prop_div_q2_02</t>
  </si>
  <si>
    <t>What critical parameter must be set in the diversity metric function `core-metrics-phylogenetic` to handle uneven sequencing depths?</t>
  </si>
  <si>
    <t>prop_div_q2_03</t>
  </si>
  <si>
    <t>Which specific artifact is required as input to calculate UniFrac distances but not Bray-Curtis?</t>
  </si>
  <si>
    <t>The Sample Metadata</t>
  </si>
  <si>
    <t>The Taxonomy</t>
  </si>
  <si>
    <t>The Rooted Phylogeny</t>
  </si>
  <si>
    <t>prop_div_q2_04</t>
  </si>
  <si>
    <t>What is the file format of the interactive 3D PCoA plots generated by QIIME 2?</t>
  </si>
  <si>
    <t>.qza (Artifact)</t>
  </si>
  <si>
    <t>.qzv (Emperor Visualization)</t>
  </si>
  <si>
    <t>.txt (Text file)</t>
  </si>
  <si>
    <t>.png (Image file)</t>
  </si>
  <si>
    <t>prop_div_q2_05</t>
  </si>
  <si>
    <t>Which command allows you to test for statistical differences in Alpha Diversity between groups (e.g., Treatment vs Control)?</t>
  </si>
  <si>
    <t>qiime diversity core-metrics</t>
  </si>
  <si>
    <t>prop_div_q2_06</t>
  </si>
  <si>
    <t>What is the primary visual output of the `qiime diversity alpha-rarefaction` command?</t>
  </si>
  <si>
    <t>A curve showing diversity vs. sequencing depth</t>
  </si>
  <si>
    <t>A 3D scatter plot</t>
  </si>
  <si>
    <t>A heatmap</t>
  </si>
  <si>
    <t>A boxplot</t>
  </si>
  <si>
    <t>prop_div_q2_07</t>
  </si>
  <si>
    <t>In the context of `beta-group-significance`, which statistical test is commonly used to compare distances between groups?</t>
  </si>
  <si>
    <t>T-test</t>
  </si>
  <si>
    <t>Kruskal-Wallis</t>
  </si>
  <si>
    <t>ANOVA</t>
  </si>
  <si>
    <t>PERMANOVA</t>
  </si>
  <si>
    <t>prop_div_q2_08</t>
  </si>
  <si>
    <t>If you want to view a PCoA plot coloured by 'BodySite', which file must you provide to the Emperor tool?</t>
  </si>
  <si>
    <t>prop_div_q2_09</t>
  </si>
  <si>
    <t>When calculating diversity metrics, what happens to samples that have fewer reads than the value defined in `--p-sampling-depth`?</t>
  </si>
  <si>
    <t>They are dropped from the analysis</t>
  </si>
  <si>
    <t>They are kept as is</t>
  </si>
  <si>
    <t>They are normalized</t>
  </si>
  <si>
    <t>They are up-sampled</t>
  </si>
  <si>
    <t>prop_div_q2_10</t>
  </si>
  <si>
    <t>Which output artifact from `core-metrics` contains the vector of Shannon Index values for each sample?</t>
  </si>
  <si>
    <t>shannon_matrix.qza</t>
  </si>
  <si>
    <t>shannon_table.qza</t>
  </si>
  <si>
    <t>shannon_plot.qzv</t>
  </si>
  <si>
    <t>shannon_vector.qza</t>
  </si>
  <si>
    <t>mile_div_q2_01</t>
  </si>
  <si>
    <t>You inspect `demux.qzv` and see read counts from 1,000 to 100,000. If you set `--p-sampling-depth 50,000` while calculating diversity metrics, what is the outcome?</t>
  </si>
  <si>
    <t>You keep all samples and normalize them to 50,000</t>
  </si>
  <si>
    <t>You increase the diversity of the low-count samples</t>
  </si>
  <si>
    <t>You lose all samples with fewer than 50,000 reads, discarding data</t>
  </si>
  <si>
    <t>The command fails because of the discrepancy</t>
  </si>
  <si>
    <t>mile_div_q2_02</t>
  </si>
  <si>
    <t>You try to run `core-metrics-phylogenetic` but receive an error saying "rooted-tree.qza was not provided". Which metrics will fail to calculate?</t>
  </si>
  <si>
    <t>Faith's PD and UniFrac</t>
  </si>
  <si>
    <t>Shannon and Bray-Curtis</t>
  </si>
  <si>
    <t>Jaccard and Observed Features</t>
  </si>
  <si>
    <t>Evenness and Jaccard</t>
  </si>
  <si>
    <t>mile_div_q2_03</t>
  </si>
  <si>
    <t>Why does `core-metrics-phylogenetic` produce multiple "Distance Matrix" artifacts (e.g., Jaccard, Bray-Curtis)?</t>
  </si>
  <si>
    <t>To create a heatmap visualization</t>
  </si>
  <si>
    <t>Because the command failed to converge</t>
  </si>
  <si>
    <t>Because they are intermediate files</t>
  </si>
  <si>
    <t>To allow you to choose the best one for PCoA visualization</t>
  </si>
  <si>
    <t>mile_div_q2_04</t>
  </si>
  <si>
    <t>When interpreting `alpha-group-significance` results, you see a Kruskal-Wallis p-value of 0.04 and a q-value of 0.25. What should you conclude?</t>
  </si>
  <si>
    <t>The result is significant</t>
  </si>
  <si>
    <t>The result is likely a false positive, identified by p value correction</t>
  </si>
  <si>
    <t>The result is invalid</t>
  </si>
  <si>
    <t>The sequencing depth was too low</t>
  </si>
  <si>
    <t>mile_div_q2_05</t>
  </si>
  <si>
    <t>In an Emperor PCoA plot, your samples form two clusters. You toggle 'Color by' to 'AntibioticUsage' and the clusters become distinctly Red vs Blue. What does this suggest?</t>
  </si>
  <si>
    <t>Antibiotic usage is a strong driver of community composition</t>
  </si>
  <si>
    <t>Antibiotic usage has no effect on beta diversity</t>
  </si>
  <si>
    <t>Antibiotic usage changes alpha diversity only</t>
  </si>
  <si>
    <t>The plot is displaying a calculation error</t>
  </si>
  <si>
    <t>mile_div_q2_06</t>
  </si>
  <si>
    <t>If you want to create a Rarefaction Curve, why do you specify `--p-max-depth` instead of a single sampling depth?</t>
  </si>
  <si>
    <t>To filter the table based on max frequency</t>
  </si>
  <si>
    <t>To set the upper limit, allowing QIIME to compute steps up to that point</t>
  </si>
  <si>
    <t>To limit the file size of the output</t>
  </si>
  <si>
    <t>To remove outliers from the calculation</t>
  </si>
  <si>
    <t>mile_div_q2_07</t>
  </si>
  <si>
    <t>You receive a "Memory Error" when viewing a large Emperor plot. What is a likely cause and solution?</t>
  </si>
  <si>
    <t>The metadata is missing; add a file</t>
  </si>
  <si>
    <t>The colors are wrong; change the map</t>
  </si>
  <si>
    <t>The dataset is too large; subsample the data</t>
  </si>
  <si>
    <t>The tree is unrooted; root the tree</t>
  </si>
  <si>
    <t>mile_div_q2_08</t>
  </si>
  <si>
    <t>Why is the `rooted-tree.qza` required for `core-metrics` even if you only care about Bray-Curtis (non-phylogenetic)?</t>
  </si>
  <si>
    <t>It is required for rarefaction steps</t>
  </si>
  <si>
    <t>It isn't required; you can omit this input if unnecessary</t>
  </si>
  <si>
    <t>It allows for better coloring of plots</t>
  </si>
  <si>
    <t>It is used for the PCoA calculation</t>
  </si>
  <si>
    <t>mile_div_q2_09</t>
  </si>
  <si>
    <t>Your PERMANOVA test (`beta-group-significance`) returns a pseudo-F statistic of 45.0 and a p-value of 0.001. How do you interpret the F-statistic?</t>
  </si>
  <si>
    <t>It is the number of samples in the test</t>
  </si>
  <si>
    <t>It is the probability of a false positive</t>
  </si>
  <si>
    <t>It indicates a large effect size with strong separation</t>
  </si>
  <si>
    <t>It is the diversity score of the group</t>
  </si>
  <si>
    <t>mile_div_q2_10</t>
  </si>
  <si>
    <t>You want to compare Alpha Diversity between 'Male' and 'Female' using the metadata column `Sex`. What command do you run?</t>
  </si>
  <si>
    <t>`qiime diversity beta-group-significance --m-column Sex`</t>
  </si>
  <si>
    <t>`qiime diversity alpha-group-significance --m-metadata-column Sex`</t>
  </si>
  <si>
    <t>`qiime diversity core-metrics --p-sex male`</t>
  </si>
  <si>
    <t>`qiime taxa barplot --m-metadata-column Sex`</t>
  </si>
  <si>
    <t>survey_div_q2_01</t>
  </si>
  <si>
    <t>In QIIME2, why is the `core-metrics-phylogenetic` pipeline preferred over running `alpha`, `beta`, and `pcoa` commands individually?</t>
  </si>
  <si>
    <t>It ensures all metrics use the exact same rarefied table for consistency</t>
  </si>
  <si>
    <t>It is more accurate than running them separately</t>
  </si>
  <si>
    <t>It allows for different depths per metric</t>
  </si>
  <si>
    <t>It uses a better tree for calculation</t>
  </si>
  <si>
    <t>survey_div_q2_02</t>
  </si>
  <si>
    <t>If the rarefaction curve for 'Group A' allow you to plot a higher max depth than for 'Group B', what does this imply?</t>
  </si>
  <si>
    <t>Group A is more diverse than Group B</t>
  </si>
  <si>
    <t>Group B is contaminated with host DNA</t>
  </si>
  <si>
    <t>The rarefaction calculation failed</t>
  </si>
  <si>
    <t>Group A was sequenced more deeply than Group B</t>
  </si>
  <si>
    <t>survey_div_q2_03</t>
  </si>
  <si>
    <t>You are advising a student who wants to exclude samples with &lt; 1000 reads *before* diversity analysis. How do you do this in QIIME 2?</t>
  </si>
  <si>
    <t>Use `qiime feature-table filter-samples` with `--p-min-frequency 1000`</t>
  </si>
  <si>
    <t>Use `core-metrics` with `--p-sampling-depth 1000`</t>
  </si>
  <si>
    <t>Use `taxa filter-table` to remove low counts</t>
  </si>
  <si>
    <t>Delete the samples manually from the folder</t>
  </si>
  <si>
    <t>survey_div_q2_05</t>
  </si>
  <si>
    <t>Why is it important to use a "Sample Metadata" file when running `alpha-group-significance`?</t>
  </si>
  <si>
    <t>To set the colors of the boxplots</t>
  </si>
  <si>
    <t>The command uses the metadata groups to perform the statistical test</t>
  </si>
  <si>
    <t>To name the output visualization</t>
  </si>
  <si>
    <t>To filter the table before testing</t>
  </si>
  <si>
    <t>conf_01</t>
  </si>
  <si>
    <t>I am confident in my ability to explain the Illumina sequencing workflow.</t>
  </si>
  <si>
    <t>-</t>
  </si>
  <si>
    <t>conf_02</t>
  </si>
  <si>
    <t>I am confident in my ability to run QIIME 2 commands for importing and denoising.</t>
  </si>
  <si>
    <t>conf_03</t>
  </si>
  <si>
    <t>I am confident in my ability to interpret taxonomic barplots and diversity plots.</t>
  </si>
  <si>
    <t>core_unix_01</t>
  </si>
  <si>
    <t>Which character sequence represents the 'parent directory' (one level up) in a file path?</t>
  </si>
  <si>
    <t>`/`</t>
  </si>
  <si>
    <t>`~`</t>
  </si>
  <si>
    <t>`..`</t>
  </si>
  <si>
    <t>`.`</t>
  </si>
  <si>
    <t>core_unix_02</t>
  </si>
  <si>
    <t>What is the defining feature of an 'Absolute Path' compared to a 'Relative Path'?</t>
  </si>
  <si>
    <t>It starts with a forward slash `/` (root directory)</t>
  </si>
  <si>
    <t>It starts with the current directory</t>
  </si>
  <si>
    <t>It is shorter to type</t>
  </si>
  <si>
    <t>It contains no spaces</t>
  </si>
  <si>
    <t>core_unix_03</t>
  </si>
  <si>
    <t>You are typing a long file name. Which key can you press to auto-complete the name after typing the first few letters?</t>
  </si>
  <si>
    <t>Enter</t>
  </si>
  <si>
    <t>Tab</t>
  </si>
  <si>
    <t>Space</t>
  </si>
  <si>
    <t>Ctrl+C</t>
  </si>
  <si>
    <t>core_unix_04</t>
  </si>
  <si>
    <t>You want to verify which directory you are currently working in. Which command prints the 'Present Working Directory'?</t>
  </si>
  <si>
    <t>`getwd`</t>
  </si>
  <si>
    <t>`ls`</t>
  </si>
  <si>
    <t>`cd`</t>
  </si>
  <si>
    <t>`pwd`</t>
  </si>
  <si>
    <t>core_unix_05</t>
  </si>
  <si>
    <t>What is the effect of putting a space in a filename (e.g., `my data.fastq`) without quoting it?</t>
  </si>
  <si>
    <t>The shell interprets it as two separate arguments (`my` and `data.fastq`)</t>
  </si>
  <si>
    <t>It works perfectly fine</t>
  </si>
  <si>
    <t>It deletes the file</t>
  </si>
  <si>
    <t>It creates a directory</t>
  </si>
  <si>
    <t>core_unix_06</t>
  </si>
  <si>
    <t>You see a file path listed as `~`. What does the tilde `~` symbol represent?</t>
  </si>
  <si>
    <t>The root directory</t>
  </si>
  <si>
    <t>The user's home directory</t>
  </si>
  <si>
    <t>The temporary directory</t>
  </si>
  <si>
    <t>The trash directory</t>
  </si>
  <si>
    <t>core_unix_07</t>
  </si>
  <si>
    <t>Which command is used to list the contents (files and folders) of the current directory?</t>
  </si>
  <si>
    <t>`show`</t>
  </si>
  <si>
    <t>`open`</t>
  </si>
  <si>
    <t>`view`</t>
  </si>
  <si>
    <t>core_unix_08</t>
  </si>
  <si>
    <t>You typed a complex command incorrectly. How can you quickly retrieve the previous command from your history to edit it?</t>
  </si>
  <si>
    <t>Press the Up Arrow key</t>
  </si>
  <si>
    <t>Press Ctrl+Z</t>
  </si>
  <si>
    <t>Press the Down Arrow key</t>
  </si>
  <si>
    <t>Type `history -1`</t>
  </si>
  <si>
    <t>core_unix_09</t>
  </si>
  <si>
    <t>What does the backslash `\` character do when placed at the very end of a command line?</t>
  </si>
  <si>
    <t>It executes the command immediately</t>
  </si>
  <si>
    <t>It deletes the previous word</t>
  </si>
  <si>
    <t>It acts as a line continuation, telling the shell the command continues on the next line</t>
  </si>
  <si>
    <t>It cancels the command</t>
  </si>
  <si>
    <t>core_unix_10</t>
  </si>
  <si>
    <t>You try to run `QIIME` but get "command not found". You know it is installed. What is the likely cause of the error?</t>
  </si>
  <si>
    <t>You need to restart the computer</t>
  </si>
  <si>
    <t>UNIX is case-sensitive, and the command is lowercase `qiime`</t>
  </si>
  <si>
    <t>You are in the wrong folder</t>
  </si>
  <si>
    <t>You need to type `run QIIME`</t>
  </si>
  <si>
    <t>core_unix_11</t>
  </si>
  <si>
    <t>What is the wildcard character used to select "all files" matching a pattern (e.g., all files ending in .fastq)?</t>
  </si>
  <si>
    <t>`?`</t>
  </si>
  <si>
    <t>`#`</t>
  </si>
  <si>
    <t>`*`</t>
  </si>
  <si>
    <t>`@`</t>
  </si>
  <si>
    <t>core_unix_12</t>
  </si>
  <si>
    <t>You want to organize your files. Which command creates a new directory (folder)?</t>
  </si>
  <si>
    <t>`newdir`</t>
  </si>
  <si>
    <t>`mkdir`</t>
  </si>
  <si>
    <t>`touch`</t>
  </si>
  <si>
    <t>`rm`</t>
  </si>
  <si>
    <t>core_unix_14</t>
  </si>
  <si>
    <t>If you run a command and receive "File not found", but you can see the input file in your file browser, what is the most common mistake?</t>
  </si>
  <si>
    <t>The file is locked</t>
  </si>
  <si>
    <t>The file path to the input file is incorrect</t>
  </si>
  <si>
    <t>The file is corrupt</t>
  </si>
  <si>
    <t>The internet is down</t>
  </si>
  <si>
    <t>core_unix_15</t>
  </si>
  <si>
    <t>How do you navigate "down" into a subfolder named `data`?</t>
  </si>
  <si>
    <t>`cd ..`</t>
  </si>
  <si>
    <t>`ls data`</t>
  </si>
  <si>
    <t>`go data`</t>
  </si>
  <si>
    <t>`cd data`</t>
  </si>
  <si>
    <t>core_unix_16</t>
  </si>
  <si>
    <t>What visual cue does the terminal provide to indicate a command is still running and has not crashed?</t>
  </si>
  <si>
    <t>The prompt `$` or `&gt;` does not reappear, and the cursor may blink</t>
  </si>
  <si>
    <t>The screen turns blue</t>
  </si>
  <si>
    <t>It prints "Done" immediately</t>
  </si>
  <si>
    <t>It makes a beeping sound</t>
  </si>
  <si>
    <t>core_unix_18</t>
  </si>
  <si>
    <t>What is the general difference between a flag with one dash `-i` and two dashes `--input`?</t>
  </si>
  <si>
    <t>One dash is for outputs, two for inputs</t>
  </si>
  <si>
    <t>One dash is for short-form (single letter), two dashes are for long-form (full word)</t>
  </si>
  <si>
    <t>One dash is optional, two are mandatory</t>
  </si>
  <si>
    <t>There is no difference</t>
  </si>
  <si>
    <t>core_unix_19</t>
  </si>
  <si>
    <t>You want to read the help manual for the `mkdir` command. What would you type?</t>
  </si>
  <si>
    <t>`mkdir --help` or `man mkdir`</t>
  </si>
  <si>
    <t>`help me mkdir`</t>
  </si>
  <si>
    <t>`? mkdir`</t>
  </si>
  <si>
    <t>`info mkdir`</t>
  </si>
  <si>
    <t>core_unix_20</t>
  </si>
  <si>
    <t>Why does QIIME 2 usually require you to specify `--o-output-dir` or `--o-table` filenames?</t>
  </si>
  <si>
    <t>To allow you to name your result files something meaningful</t>
  </si>
  <si>
    <t>Because it is not possible for qiime to invent names</t>
  </si>
  <si>
    <t>To overwrite your raw data</t>
  </si>
  <si>
    <t>To delete the inputs</t>
  </si>
  <si>
    <t>mis_01</t>
  </si>
  <si>
    <t>Freezer failure! Samples thawed. (-$100)</t>
  </si>
  <si>
    <t>mis_02</t>
  </si>
  <si>
    <t>Grant received!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</si>
</sst>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DB2A-F6B0-5045-902E-E455D3634585}">
  <dimension ref="A1:F192"/>
  <sheetViews>
    <sheetView tabSelected="1" workbookViewId="0">
      <selection activeCell="B11" sqref="B11"/>
    </sheetView>
  </sheetViews>
  <sheetFormatPr baseColWidth="10" defaultRowHeight="16" x14ac:dyDescent="0.2"/>
  <cols>
    <col min="1" max="1" width="18.1640625" bestFit="1" customWidth="1"/>
    <col min="2" max="2" width="157.83203125" bestFit="1" customWidth="1"/>
    <col min="3" max="3" width="119.83203125" bestFit="1" customWidth="1"/>
    <col min="4" max="4" width="79.5" bestFit="1" customWidth="1"/>
    <col min="5" max="5" width="78.33203125" bestFit="1" customWidth="1"/>
    <col min="6" max="6" width="105.6640625" bestFit="1" customWidth="1"/>
  </cols>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12</v>
      </c>
      <c r="B3" t="s">
        <v>13</v>
      </c>
      <c r="C3" t="s">
        <v>14</v>
      </c>
      <c r="D3" t="s">
        <v>15</v>
      </c>
      <c r="E3" t="s">
        <v>16</v>
      </c>
      <c r="F3" t="s">
        <v>17</v>
      </c>
    </row>
    <row r="4" spans="1:6" x14ac:dyDescent="0.2">
      <c r="A4" t="s">
        <v>18</v>
      </c>
      <c r="B4" t="s">
        <v>19</v>
      </c>
      <c r="C4" t="s">
        <v>20</v>
      </c>
      <c r="D4" t="s">
        <v>21</v>
      </c>
      <c r="E4" t="s">
        <v>22</v>
      </c>
      <c r="F4" t="s">
        <v>23</v>
      </c>
    </row>
    <row r="5" spans="1:6" x14ac:dyDescent="0.2">
      <c r="A5" t="s">
        <v>24</v>
      </c>
      <c r="B5" t="s">
        <v>25</v>
      </c>
      <c r="C5" t="s">
        <v>26</v>
      </c>
      <c r="D5" t="s">
        <v>27</v>
      </c>
      <c r="E5" t="s">
        <v>28</v>
      </c>
      <c r="F5" t="s">
        <v>29</v>
      </c>
    </row>
    <row r="6" spans="1:6" x14ac:dyDescent="0.2">
      <c r="A6" t="s">
        <v>30</v>
      </c>
      <c r="B6" t="s">
        <v>31</v>
      </c>
      <c r="C6" t="s">
        <v>32</v>
      </c>
      <c r="D6" t="s">
        <v>33</v>
      </c>
      <c r="E6" t="s">
        <v>34</v>
      </c>
      <c r="F6" t="s">
        <v>35</v>
      </c>
    </row>
    <row r="7" spans="1:6" x14ac:dyDescent="0.2">
      <c r="A7" t="s">
        <v>36</v>
      </c>
      <c r="B7" t="s">
        <v>37</v>
      </c>
      <c r="C7" t="s">
        <v>38</v>
      </c>
      <c r="D7" t="s">
        <v>39</v>
      </c>
      <c r="E7" t="s">
        <v>40</v>
      </c>
      <c r="F7" t="s">
        <v>41</v>
      </c>
    </row>
    <row r="8" spans="1:6" x14ac:dyDescent="0.2">
      <c r="A8" t="s">
        <v>42</v>
      </c>
      <c r="B8" t="s">
        <v>43</v>
      </c>
      <c r="C8" t="s">
        <v>44</v>
      </c>
      <c r="D8" t="s">
        <v>45</v>
      </c>
      <c r="E8" t="s">
        <v>46</v>
      </c>
      <c r="F8" t="s">
        <v>47</v>
      </c>
    </row>
    <row r="9" spans="1:6" x14ac:dyDescent="0.2">
      <c r="A9" t="s">
        <v>49</v>
      </c>
      <c r="B9" t="s">
        <v>50</v>
      </c>
      <c r="C9" t="s">
        <v>51</v>
      </c>
      <c r="D9" t="s">
        <v>52</v>
      </c>
      <c r="E9" t="s">
        <v>53</v>
      </c>
      <c r="F9" t="s">
        <v>54</v>
      </c>
    </row>
    <row r="10" spans="1:6" x14ac:dyDescent="0.2">
      <c r="A10" t="s">
        <v>55</v>
      </c>
      <c r="B10" t="s">
        <v>56</v>
      </c>
      <c r="C10" t="s">
        <v>57</v>
      </c>
      <c r="D10" t="s">
        <v>58</v>
      </c>
      <c r="E10" t="s">
        <v>59</v>
      </c>
      <c r="F10" t="s">
        <v>60</v>
      </c>
    </row>
    <row r="11" spans="1:6" x14ac:dyDescent="0.2">
      <c r="A11" t="s">
        <v>61</v>
      </c>
      <c r="B11" t="s">
        <v>62</v>
      </c>
      <c r="C11" t="s">
        <v>63</v>
      </c>
      <c r="D11" t="s">
        <v>64</v>
      </c>
      <c r="E11" t="s">
        <v>65</v>
      </c>
      <c r="F11" t="s">
        <v>66</v>
      </c>
    </row>
    <row r="12" spans="1:6" x14ac:dyDescent="0.2">
      <c r="A12" t="s">
        <v>67</v>
      </c>
      <c r="B12" t="s">
        <v>68</v>
      </c>
      <c r="C12" t="s">
        <v>69</v>
      </c>
      <c r="D12" t="s">
        <v>70</v>
      </c>
      <c r="E12" t="s">
        <v>71</v>
      </c>
      <c r="F12" t="s">
        <v>72</v>
      </c>
    </row>
    <row r="13" spans="1:6" x14ac:dyDescent="0.2">
      <c r="A13" t="s">
        <v>73</v>
      </c>
      <c r="B13" t="s">
        <v>74</v>
      </c>
      <c r="C13" t="s">
        <v>75</v>
      </c>
      <c r="D13" t="s">
        <v>76</v>
      </c>
      <c r="E13" t="s">
        <v>77</v>
      </c>
      <c r="F13" t="s">
        <v>78</v>
      </c>
    </row>
    <row r="14" spans="1:6" x14ac:dyDescent="0.2">
      <c r="A14" t="s">
        <v>79</v>
      </c>
      <c r="B14" t="s">
        <v>80</v>
      </c>
      <c r="C14" t="s">
        <v>81</v>
      </c>
      <c r="D14" t="s">
        <v>82</v>
      </c>
      <c r="E14" t="s">
        <v>83</v>
      </c>
      <c r="F14" t="s">
        <v>84</v>
      </c>
    </row>
    <row r="15" spans="1:6" x14ac:dyDescent="0.2">
      <c r="A15" t="s">
        <v>85</v>
      </c>
      <c r="B15" t="s">
        <v>86</v>
      </c>
      <c r="C15" t="s">
        <v>87</v>
      </c>
      <c r="D15" t="s">
        <v>88</v>
      </c>
      <c r="E15" t="s">
        <v>89</v>
      </c>
      <c r="F15" t="s">
        <v>90</v>
      </c>
    </row>
    <row r="16" spans="1:6" x14ac:dyDescent="0.2">
      <c r="A16" t="s">
        <v>91</v>
      </c>
      <c r="B16" t="s">
        <v>92</v>
      </c>
      <c r="C16" t="s">
        <v>93</v>
      </c>
      <c r="D16" t="s">
        <v>94</v>
      </c>
      <c r="E16" t="s">
        <v>95</v>
      </c>
      <c r="F16" t="s">
        <v>96</v>
      </c>
    </row>
    <row r="17" spans="1:6" x14ac:dyDescent="0.2">
      <c r="A17" t="s">
        <v>97</v>
      </c>
      <c r="B17" t="s">
        <v>98</v>
      </c>
      <c r="C17" t="s">
        <v>99</v>
      </c>
      <c r="D17" t="s">
        <v>100</v>
      </c>
      <c r="E17" t="s">
        <v>101</v>
      </c>
      <c r="F17" t="s">
        <v>102</v>
      </c>
    </row>
    <row r="18" spans="1:6" x14ac:dyDescent="0.2">
      <c r="A18" t="s">
        <v>103</v>
      </c>
      <c r="B18" t="s">
        <v>104</v>
      </c>
      <c r="C18" t="s">
        <v>105</v>
      </c>
      <c r="D18" t="s">
        <v>106</v>
      </c>
      <c r="E18" t="s">
        <v>107</v>
      </c>
      <c r="F18" t="s">
        <v>108</v>
      </c>
    </row>
    <row r="19" spans="1:6" x14ac:dyDescent="0.2">
      <c r="A19" t="s">
        <v>109</v>
      </c>
      <c r="B19" t="s">
        <v>110</v>
      </c>
      <c r="C19" t="s">
        <v>111</v>
      </c>
      <c r="D19" t="s">
        <v>112</v>
      </c>
      <c r="E19" t="s">
        <v>113</v>
      </c>
      <c r="F19" t="s">
        <v>114</v>
      </c>
    </row>
    <row r="20" spans="1:6" x14ac:dyDescent="0.2">
      <c r="A20" t="s">
        <v>115</v>
      </c>
      <c r="B20" t="s">
        <v>116</v>
      </c>
      <c r="C20" t="s">
        <v>117</v>
      </c>
      <c r="D20" t="s">
        <v>118</v>
      </c>
      <c r="E20" t="s">
        <v>119</v>
      </c>
      <c r="F20" t="s">
        <v>120</v>
      </c>
    </row>
    <row r="21" spans="1:6" x14ac:dyDescent="0.2">
      <c r="A21" t="s">
        <v>121</v>
      </c>
      <c r="B21" t="s">
        <v>122</v>
      </c>
      <c r="C21" t="s">
        <v>123</v>
      </c>
      <c r="D21" t="s">
        <v>124</v>
      </c>
      <c r="E21" t="s">
        <v>125</v>
      </c>
      <c r="F21" t="s">
        <v>126</v>
      </c>
    </row>
    <row r="22" spans="1:6" x14ac:dyDescent="0.2">
      <c r="A22" t="s">
        <v>127</v>
      </c>
      <c r="B22" t="s">
        <v>128</v>
      </c>
      <c r="C22" t="s">
        <v>129</v>
      </c>
      <c r="D22" t="s">
        <v>130</v>
      </c>
      <c r="E22" t="s">
        <v>131</v>
      </c>
      <c r="F22" t="s">
        <v>132</v>
      </c>
    </row>
    <row r="23" spans="1:6" x14ac:dyDescent="0.2">
      <c r="A23" t="s">
        <v>133</v>
      </c>
      <c r="B23" t="s">
        <v>134</v>
      </c>
      <c r="C23" t="s">
        <v>135</v>
      </c>
      <c r="D23" t="s">
        <v>136</v>
      </c>
      <c r="E23" t="s">
        <v>137</v>
      </c>
      <c r="F23" t="s">
        <v>138</v>
      </c>
    </row>
    <row r="24" spans="1:6" x14ac:dyDescent="0.2">
      <c r="A24" t="s">
        <v>139</v>
      </c>
      <c r="B24" t="s">
        <v>140</v>
      </c>
      <c r="C24" t="s">
        <v>141</v>
      </c>
      <c r="D24" t="s">
        <v>142</v>
      </c>
      <c r="E24" t="s">
        <v>143</v>
      </c>
      <c r="F24" t="s">
        <v>144</v>
      </c>
    </row>
    <row r="25" spans="1:6" x14ac:dyDescent="0.2">
      <c r="A25" t="s">
        <v>145</v>
      </c>
      <c r="B25" t="s">
        <v>146</v>
      </c>
      <c r="C25" t="s">
        <v>147</v>
      </c>
      <c r="D25" t="s">
        <v>148</v>
      </c>
      <c r="E25" t="s">
        <v>149</v>
      </c>
      <c r="F25" t="s">
        <v>150</v>
      </c>
    </row>
    <row r="26" spans="1:6" x14ac:dyDescent="0.2">
      <c r="A26" t="s">
        <v>151</v>
      </c>
      <c r="B26" t="s">
        <v>152</v>
      </c>
      <c r="C26" t="s">
        <v>153</v>
      </c>
      <c r="D26" t="s">
        <v>154</v>
      </c>
      <c r="E26" t="s">
        <v>155</v>
      </c>
      <c r="F26" t="s">
        <v>156</v>
      </c>
    </row>
    <row r="27" spans="1:6" x14ac:dyDescent="0.2">
      <c r="A27" t="s">
        <v>157</v>
      </c>
      <c r="B27" t="s">
        <v>158</v>
      </c>
      <c r="C27" t="s">
        <v>159</v>
      </c>
      <c r="D27" t="s">
        <v>160</v>
      </c>
      <c r="E27" t="s">
        <v>161</v>
      </c>
      <c r="F27" t="s">
        <v>162</v>
      </c>
    </row>
    <row r="28" spans="1:6" x14ac:dyDescent="0.2">
      <c r="A28" t="s">
        <v>163</v>
      </c>
      <c r="B28" t="s">
        <v>164</v>
      </c>
      <c r="C28" t="s">
        <v>165</v>
      </c>
      <c r="D28" t="s">
        <v>166</v>
      </c>
      <c r="E28" t="s">
        <v>167</v>
      </c>
      <c r="F28" t="s">
        <v>168</v>
      </c>
    </row>
    <row r="29" spans="1:6" x14ac:dyDescent="0.2">
      <c r="A29" t="s">
        <v>169</v>
      </c>
      <c r="B29" t="s">
        <v>170</v>
      </c>
      <c r="C29" t="s">
        <v>171</v>
      </c>
      <c r="D29" t="s">
        <v>172</v>
      </c>
      <c r="E29" t="s">
        <v>173</v>
      </c>
      <c r="F29" t="s">
        <v>174</v>
      </c>
    </row>
    <row r="30" spans="1:6" x14ac:dyDescent="0.2">
      <c r="A30" t="s">
        <v>175</v>
      </c>
      <c r="B30" t="s">
        <v>176</v>
      </c>
      <c r="C30" t="s">
        <v>177</v>
      </c>
      <c r="D30" t="s">
        <v>178</v>
      </c>
      <c r="E30" t="s">
        <v>179</v>
      </c>
      <c r="F30" t="s">
        <v>180</v>
      </c>
    </row>
    <row r="31" spans="1:6" x14ac:dyDescent="0.2">
      <c r="A31" t="s">
        <v>181</v>
      </c>
      <c r="B31" s="1" t="s">
        <v>182</v>
      </c>
      <c r="C31" t="s">
        <v>183</v>
      </c>
      <c r="D31" t="s">
        <v>184</v>
      </c>
      <c r="E31" t="s">
        <v>185</v>
      </c>
      <c r="F31" t="s">
        <v>186</v>
      </c>
    </row>
    <row r="32" spans="1:6" x14ac:dyDescent="0.2">
      <c r="A32" t="s">
        <v>187</v>
      </c>
      <c r="B32" t="s">
        <v>188</v>
      </c>
      <c r="C32" t="s">
        <v>189</v>
      </c>
      <c r="D32" t="s">
        <v>190</v>
      </c>
      <c r="E32" t="s">
        <v>191</v>
      </c>
      <c r="F32" t="s">
        <v>192</v>
      </c>
    </row>
    <row r="33" spans="1:6" x14ac:dyDescent="0.2">
      <c r="A33" t="s">
        <v>193</v>
      </c>
      <c r="B33" t="s">
        <v>194</v>
      </c>
      <c r="C33" t="s">
        <v>195</v>
      </c>
      <c r="D33" t="s">
        <v>196</v>
      </c>
      <c r="E33" t="s">
        <v>197</v>
      </c>
      <c r="F33" t="s">
        <v>198</v>
      </c>
    </row>
    <row r="34" spans="1:6" x14ac:dyDescent="0.2">
      <c r="A34" t="s">
        <v>199</v>
      </c>
      <c r="B34" t="s">
        <v>200</v>
      </c>
      <c r="C34" t="s">
        <v>201</v>
      </c>
      <c r="D34" t="s">
        <v>202</v>
      </c>
      <c r="E34" t="s">
        <v>203</v>
      </c>
      <c r="F34" t="s">
        <v>204</v>
      </c>
    </row>
    <row r="35" spans="1:6" x14ac:dyDescent="0.2">
      <c r="A35" t="s">
        <v>205</v>
      </c>
      <c r="B35" t="s">
        <v>206</v>
      </c>
      <c r="C35" t="s">
        <v>207</v>
      </c>
      <c r="D35" t="s">
        <v>208</v>
      </c>
      <c r="E35" t="s">
        <v>209</v>
      </c>
      <c r="F35" t="s">
        <v>210</v>
      </c>
    </row>
    <row r="36" spans="1:6" x14ac:dyDescent="0.2">
      <c r="A36" t="s">
        <v>211</v>
      </c>
      <c r="B36" t="s">
        <v>212</v>
      </c>
      <c r="C36" t="s">
        <v>213</v>
      </c>
      <c r="D36" t="s">
        <v>214</v>
      </c>
      <c r="E36" t="s">
        <v>215</v>
      </c>
      <c r="F36" t="s">
        <v>216</v>
      </c>
    </row>
    <row r="37" spans="1:6" x14ac:dyDescent="0.2">
      <c r="A37" t="s">
        <v>217</v>
      </c>
      <c r="B37" t="s">
        <v>218</v>
      </c>
      <c r="C37" t="s">
        <v>219</v>
      </c>
      <c r="D37" t="s">
        <v>220</v>
      </c>
      <c r="E37" t="s">
        <v>221</v>
      </c>
      <c r="F37" t="s">
        <v>222</v>
      </c>
    </row>
    <row r="38" spans="1:6" x14ac:dyDescent="0.2">
      <c r="A38" t="s">
        <v>223</v>
      </c>
      <c r="B38" t="s">
        <v>224</v>
      </c>
      <c r="C38" t="s">
        <v>225</v>
      </c>
      <c r="D38" t="s">
        <v>226</v>
      </c>
      <c r="E38" t="s">
        <v>227</v>
      </c>
      <c r="F38" t="s">
        <v>228</v>
      </c>
    </row>
    <row r="39" spans="1:6" x14ac:dyDescent="0.2">
      <c r="A39" t="s">
        <v>229</v>
      </c>
      <c r="B39" t="s">
        <v>230</v>
      </c>
      <c r="C39" t="s">
        <v>231</v>
      </c>
      <c r="D39" t="s">
        <v>232</v>
      </c>
      <c r="E39" t="s">
        <v>233</v>
      </c>
      <c r="F39" t="s">
        <v>234</v>
      </c>
    </row>
    <row r="40" spans="1:6" x14ac:dyDescent="0.2">
      <c r="A40" t="s">
        <v>235</v>
      </c>
      <c r="B40" t="s">
        <v>236</v>
      </c>
      <c r="C40" t="s">
        <v>237</v>
      </c>
      <c r="D40" t="s">
        <v>238</v>
      </c>
      <c r="E40" t="s">
        <v>239</v>
      </c>
      <c r="F40" t="s">
        <v>240</v>
      </c>
    </row>
    <row r="41" spans="1:6" x14ac:dyDescent="0.2">
      <c r="A41" t="s">
        <v>241</v>
      </c>
      <c r="B41" t="s">
        <v>242</v>
      </c>
      <c r="C41" t="s">
        <v>243</v>
      </c>
      <c r="D41" t="s">
        <v>244</v>
      </c>
      <c r="E41" t="s">
        <v>245</v>
      </c>
      <c r="F41" t="s">
        <v>246</v>
      </c>
    </row>
    <row r="42" spans="1:6" x14ac:dyDescent="0.2">
      <c r="A42" t="s">
        <v>247</v>
      </c>
      <c r="B42" t="s">
        <v>248</v>
      </c>
      <c r="C42" t="s">
        <v>249</v>
      </c>
      <c r="D42" t="s">
        <v>250</v>
      </c>
      <c r="E42" t="s">
        <v>251</v>
      </c>
      <c r="F42" t="s">
        <v>252</v>
      </c>
    </row>
    <row r="43" spans="1:6" x14ac:dyDescent="0.2">
      <c r="A43" t="s">
        <v>253</v>
      </c>
      <c r="B43" t="s">
        <v>254</v>
      </c>
      <c r="C43" t="s">
        <v>255</v>
      </c>
      <c r="D43" t="s">
        <v>256</v>
      </c>
      <c r="E43" t="s">
        <v>257</v>
      </c>
      <c r="F43" t="s">
        <v>258</v>
      </c>
    </row>
    <row r="44" spans="1:6" x14ac:dyDescent="0.2">
      <c r="A44" t="s">
        <v>259</v>
      </c>
      <c r="B44" t="s">
        <v>260</v>
      </c>
      <c r="C44" t="s">
        <v>261</v>
      </c>
      <c r="D44" t="s">
        <v>262</v>
      </c>
      <c r="E44" t="s">
        <v>263</v>
      </c>
      <c r="F44" t="s">
        <v>264</v>
      </c>
    </row>
    <row r="45" spans="1:6" x14ac:dyDescent="0.2">
      <c r="A45" t="s">
        <v>265</v>
      </c>
      <c r="B45" t="s">
        <v>266</v>
      </c>
      <c r="C45" t="s">
        <v>267</v>
      </c>
      <c r="D45" t="s">
        <v>268</v>
      </c>
      <c r="E45" t="s">
        <v>269</v>
      </c>
      <c r="F45" t="s">
        <v>270</v>
      </c>
    </row>
    <row r="46" spans="1:6" x14ac:dyDescent="0.2">
      <c r="A46" t="s">
        <v>271</v>
      </c>
      <c r="B46" t="s">
        <v>272</v>
      </c>
      <c r="C46" t="s">
        <v>273</v>
      </c>
      <c r="D46" t="s">
        <v>274</v>
      </c>
      <c r="E46" t="s">
        <v>275</v>
      </c>
      <c r="F46" t="s">
        <v>276</v>
      </c>
    </row>
    <row r="47" spans="1:6" x14ac:dyDescent="0.2">
      <c r="A47" t="s">
        <v>277</v>
      </c>
      <c r="B47" t="s">
        <v>278</v>
      </c>
      <c r="C47" t="s">
        <v>279</v>
      </c>
      <c r="D47" t="s">
        <v>280</v>
      </c>
      <c r="E47" t="s">
        <v>264</v>
      </c>
      <c r="F47" t="s">
        <v>262</v>
      </c>
    </row>
    <row r="48" spans="1:6" x14ac:dyDescent="0.2">
      <c r="A48" t="s">
        <v>281</v>
      </c>
      <c r="B48" t="s">
        <v>282</v>
      </c>
      <c r="C48" t="e">
        <f>--verbose</f>
        <v>#NAME?</v>
      </c>
      <c r="D48" t="e">
        <f>--input-path</f>
        <v>#NAME?</v>
      </c>
      <c r="E48" t="e">
        <f>--p-trim-left</f>
        <v>#NAME?</v>
      </c>
      <c r="F48" t="e">
        <f>--m-metadata-file</f>
        <v>#NAME?</v>
      </c>
    </row>
    <row r="49" spans="1:6" x14ac:dyDescent="0.2">
      <c r="A49" t="s">
        <v>283</v>
      </c>
      <c r="B49" t="s">
        <v>284</v>
      </c>
      <c r="C49" t="s">
        <v>262</v>
      </c>
      <c r="D49" t="s">
        <v>285</v>
      </c>
      <c r="E49" t="s">
        <v>261</v>
      </c>
      <c r="F49" t="s">
        <v>264</v>
      </c>
    </row>
    <row r="50" spans="1:6" x14ac:dyDescent="0.2">
      <c r="A50" t="s">
        <v>286</v>
      </c>
      <c r="B50" t="s">
        <v>287</v>
      </c>
      <c r="C50" t="s">
        <v>288</v>
      </c>
      <c r="D50" t="s">
        <v>289</v>
      </c>
      <c r="E50" t="s">
        <v>290</v>
      </c>
      <c r="F50" t="s">
        <v>291</v>
      </c>
    </row>
    <row r="51" spans="1:6" x14ac:dyDescent="0.2">
      <c r="A51" t="s">
        <v>292</v>
      </c>
      <c r="B51" t="s">
        <v>293</v>
      </c>
      <c r="C51" t="s">
        <v>294</v>
      </c>
      <c r="D51" t="s">
        <v>295</v>
      </c>
      <c r="E51" t="s">
        <v>296</v>
      </c>
      <c r="F51" t="s">
        <v>297</v>
      </c>
    </row>
    <row r="52" spans="1:6" x14ac:dyDescent="0.2">
      <c r="A52" t="s">
        <v>298</v>
      </c>
      <c r="B52" t="s">
        <v>299</v>
      </c>
      <c r="C52" t="s">
        <v>300</v>
      </c>
      <c r="D52" t="s">
        <v>301</v>
      </c>
      <c r="E52" t="s">
        <v>302</v>
      </c>
      <c r="F52" t="s">
        <v>303</v>
      </c>
    </row>
    <row r="53" spans="1:6" x14ac:dyDescent="0.2">
      <c r="A53" t="s">
        <v>304</v>
      </c>
      <c r="B53" t="s">
        <v>305</v>
      </c>
      <c r="C53" t="s">
        <v>306</v>
      </c>
      <c r="D53" t="s">
        <v>307</v>
      </c>
      <c r="E53" t="s">
        <v>308</v>
      </c>
      <c r="F53" t="s">
        <v>309</v>
      </c>
    </row>
    <row r="54" spans="1:6" x14ac:dyDescent="0.2">
      <c r="A54" t="s">
        <v>310</v>
      </c>
      <c r="B54" t="s">
        <v>311</v>
      </c>
      <c r="C54" t="s">
        <v>312</v>
      </c>
      <c r="D54" t="s">
        <v>313</v>
      </c>
      <c r="E54" t="s">
        <v>314</v>
      </c>
      <c r="F54" t="s">
        <v>315</v>
      </c>
    </row>
    <row r="55" spans="1:6" x14ac:dyDescent="0.2">
      <c r="A55" t="s">
        <v>316</v>
      </c>
      <c r="B55" t="s">
        <v>317</v>
      </c>
      <c r="C55" t="s">
        <v>318</v>
      </c>
      <c r="D55" t="s">
        <v>319</v>
      </c>
      <c r="E55" t="s">
        <v>320</v>
      </c>
      <c r="F55" t="s">
        <v>321</v>
      </c>
    </row>
    <row r="56" spans="1:6" x14ac:dyDescent="0.2">
      <c r="A56" t="s">
        <v>322</v>
      </c>
      <c r="B56" t="s">
        <v>323</v>
      </c>
      <c r="C56" t="s">
        <v>324</v>
      </c>
      <c r="D56" t="s">
        <v>325</v>
      </c>
      <c r="E56" t="s">
        <v>326</v>
      </c>
      <c r="F56" t="s">
        <v>327</v>
      </c>
    </row>
    <row r="57" spans="1:6" x14ac:dyDescent="0.2">
      <c r="A57" t="s">
        <v>328</v>
      </c>
      <c r="B57" t="s">
        <v>329</v>
      </c>
      <c r="C57" t="s">
        <v>330</v>
      </c>
      <c r="D57" t="s">
        <v>331</v>
      </c>
      <c r="E57" t="s">
        <v>332</v>
      </c>
      <c r="F57" t="s">
        <v>333</v>
      </c>
    </row>
    <row r="58" spans="1:6" x14ac:dyDescent="0.2">
      <c r="A58" t="s">
        <v>334</v>
      </c>
      <c r="B58" t="s">
        <v>335</v>
      </c>
      <c r="C58" t="s">
        <v>336</v>
      </c>
      <c r="D58" t="s">
        <v>337</v>
      </c>
      <c r="E58" t="s">
        <v>338</v>
      </c>
      <c r="F58" t="s">
        <v>339</v>
      </c>
    </row>
    <row r="59" spans="1:6" x14ac:dyDescent="0.2">
      <c r="A59" t="s">
        <v>340</v>
      </c>
      <c r="B59" t="s">
        <v>341</v>
      </c>
      <c r="C59" t="s">
        <v>342</v>
      </c>
      <c r="D59" t="s">
        <v>343</v>
      </c>
      <c r="E59" t="s">
        <v>344</v>
      </c>
      <c r="F59" t="s">
        <v>345</v>
      </c>
    </row>
    <row r="60" spans="1:6" x14ac:dyDescent="0.2">
      <c r="A60" t="s">
        <v>346</v>
      </c>
      <c r="B60" t="s">
        <v>347</v>
      </c>
      <c r="C60" t="s">
        <v>348</v>
      </c>
      <c r="D60" t="s">
        <v>349</v>
      </c>
      <c r="E60" t="s">
        <v>350</v>
      </c>
      <c r="F60" t="s">
        <v>48</v>
      </c>
    </row>
    <row r="61" spans="1:6" x14ac:dyDescent="0.2">
      <c r="A61" t="s">
        <v>351</v>
      </c>
      <c r="B61" t="s">
        <v>352</v>
      </c>
      <c r="C61" t="s">
        <v>353</v>
      </c>
      <c r="D61" t="s">
        <v>354</v>
      </c>
      <c r="E61" t="s">
        <v>355</v>
      </c>
      <c r="F61" t="s">
        <v>356</v>
      </c>
    </row>
    <row r="62" spans="1:6" x14ac:dyDescent="0.2">
      <c r="A62" t="s">
        <v>357</v>
      </c>
      <c r="B62" t="s">
        <v>358</v>
      </c>
      <c r="C62" t="s">
        <v>359</v>
      </c>
      <c r="D62" t="s">
        <v>360</v>
      </c>
      <c r="E62" t="s">
        <v>361</v>
      </c>
      <c r="F62" t="s">
        <v>362</v>
      </c>
    </row>
    <row r="63" spans="1:6" x14ac:dyDescent="0.2">
      <c r="A63" t="s">
        <v>363</v>
      </c>
      <c r="B63" t="s">
        <v>364</v>
      </c>
      <c r="C63" t="s">
        <v>365</v>
      </c>
      <c r="D63" t="s">
        <v>366</v>
      </c>
      <c r="E63" t="s">
        <v>367</v>
      </c>
      <c r="F63" t="s">
        <v>368</v>
      </c>
    </row>
    <row r="64" spans="1:6" x14ac:dyDescent="0.2">
      <c r="A64" t="s">
        <v>369</v>
      </c>
      <c r="B64" t="s">
        <v>370</v>
      </c>
      <c r="C64" t="s">
        <v>365</v>
      </c>
      <c r="D64" t="s">
        <v>371</v>
      </c>
      <c r="E64" t="s">
        <v>372</v>
      </c>
      <c r="F64" t="s">
        <v>373</v>
      </c>
    </row>
    <row r="65" spans="1:6" x14ac:dyDescent="0.2">
      <c r="A65" t="s">
        <v>374</v>
      </c>
      <c r="B65" t="s">
        <v>375</v>
      </c>
      <c r="C65" t="s">
        <v>376</v>
      </c>
      <c r="D65" t="s">
        <v>377</v>
      </c>
      <c r="E65" t="s">
        <v>378</v>
      </c>
      <c r="F65" t="s">
        <v>379</v>
      </c>
    </row>
    <row r="66" spans="1:6" x14ac:dyDescent="0.2">
      <c r="A66" t="s">
        <v>380</v>
      </c>
      <c r="B66" t="s">
        <v>381</v>
      </c>
      <c r="C66" t="s">
        <v>382</v>
      </c>
      <c r="D66" t="s">
        <v>383</v>
      </c>
      <c r="E66" t="s">
        <v>384</v>
      </c>
      <c r="F66" t="s">
        <v>385</v>
      </c>
    </row>
    <row r="67" spans="1:6" x14ac:dyDescent="0.2">
      <c r="A67" t="s">
        <v>386</v>
      </c>
      <c r="B67" t="s">
        <v>387</v>
      </c>
      <c r="C67" t="s">
        <v>388</v>
      </c>
      <c r="D67" t="s">
        <v>389</v>
      </c>
      <c r="E67" t="s">
        <v>390</v>
      </c>
      <c r="F67" t="s">
        <v>391</v>
      </c>
    </row>
    <row r="68" spans="1:6" x14ac:dyDescent="0.2">
      <c r="A68" t="s">
        <v>392</v>
      </c>
      <c r="B68" t="s">
        <v>393</v>
      </c>
      <c r="C68" t="s">
        <v>394</v>
      </c>
      <c r="D68" t="s">
        <v>395</v>
      </c>
      <c r="E68" t="s">
        <v>396</v>
      </c>
      <c r="F68" t="s">
        <v>397</v>
      </c>
    </row>
    <row r="69" spans="1:6" x14ac:dyDescent="0.2">
      <c r="A69" t="s">
        <v>398</v>
      </c>
      <c r="B69" t="s">
        <v>399</v>
      </c>
      <c r="C69" t="s">
        <v>400</v>
      </c>
      <c r="D69" t="b">
        <v>0</v>
      </c>
      <c r="E69" t="s">
        <v>401</v>
      </c>
      <c r="F69" t="b">
        <v>1</v>
      </c>
    </row>
    <row r="70" spans="1:6" x14ac:dyDescent="0.2">
      <c r="A70" t="s">
        <v>402</v>
      </c>
      <c r="B70" t="s">
        <v>403</v>
      </c>
      <c r="C70" t="e">
        <f>--i-sequences</f>
        <v>#NAME?</v>
      </c>
      <c r="D70" t="e">
        <f>--i-demultiplexed-seqs</f>
        <v>#NAME?</v>
      </c>
      <c r="E70" t="e">
        <f>--i-input-data</f>
        <v>#NAME?</v>
      </c>
      <c r="F70" t="e">
        <f>--i-raw-reads</f>
        <v>#NAME?</v>
      </c>
    </row>
    <row r="71" spans="1:6" x14ac:dyDescent="0.2">
      <c r="A71" t="s">
        <v>404</v>
      </c>
      <c r="B71" t="s">
        <v>405</v>
      </c>
      <c r="C71" t="s">
        <v>406</v>
      </c>
      <c r="D71" t="s">
        <v>407</v>
      </c>
      <c r="E71" t="s">
        <v>408</v>
      </c>
      <c r="F71" t="s">
        <v>409</v>
      </c>
    </row>
    <row r="72" spans="1:6" x14ac:dyDescent="0.2">
      <c r="A72" t="s">
        <v>410</v>
      </c>
      <c r="B72" t="s">
        <v>411</v>
      </c>
      <c r="C72" t="s">
        <v>412</v>
      </c>
      <c r="D72" t="s">
        <v>413</v>
      </c>
      <c r="E72" t="s">
        <v>414</v>
      </c>
      <c r="F72" t="s">
        <v>415</v>
      </c>
    </row>
    <row r="73" spans="1:6" x14ac:dyDescent="0.2">
      <c r="A73" t="s">
        <v>416</v>
      </c>
      <c r="B73" t="s">
        <v>417</v>
      </c>
      <c r="C73" t="s">
        <v>418</v>
      </c>
      <c r="D73" t="s">
        <v>419</v>
      </c>
      <c r="E73" t="s">
        <v>420</v>
      </c>
      <c r="F73" t="s">
        <v>421</v>
      </c>
    </row>
    <row r="74" spans="1:6" x14ac:dyDescent="0.2">
      <c r="A74" t="s">
        <v>422</v>
      </c>
      <c r="B74" t="s">
        <v>423</v>
      </c>
      <c r="C74" t="s">
        <v>424</v>
      </c>
      <c r="D74" t="s">
        <v>425</v>
      </c>
      <c r="E74" t="s">
        <v>426</v>
      </c>
      <c r="F74" t="s">
        <v>427</v>
      </c>
    </row>
    <row r="75" spans="1:6" x14ac:dyDescent="0.2">
      <c r="A75" t="s">
        <v>428</v>
      </c>
      <c r="B75" t="s">
        <v>429</v>
      </c>
      <c r="C75" t="s">
        <v>430</v>
      </c>
      <c r="D75" t="s">
        <v>431</v>
      </c>
      <c r="E75" t="s">
        <v>432</v>
      </c>
      <c r="F75" t="s">
        <v>433</v>
      </c>
    </row>
    <row r="76" spans="1:6" x14ac:dyDescent="0.2">
      <c r="A76" t="s">
        <v>434</v>
      </c>
      <c r="B76" t="s">
        <v>435</v>
      </c>
      <c r="C76" t="s">
        <v>436</v>
      </c>
      <c r="D76" t="s">
        <v>437</v>
      </c>
      <c r="E76" t="s">
        <v>438</v>
      </c>
      <c r="F76" t="s">
        <v>439</v>
      </c>
    </row>
    <row r="77" spans="1:6" x14ac:dyDescent="0.2">
      <c r="A77" t="s">
        <v>440</v>
      </c>
      <c r="B77" t="s">
        <v>441</v>
      </c>
      <c r="C77" t="s">
        <v>442</v>
      </c>
      <c r="D77" t="s">
        <v>443</v>
      </c>
      <c r="E77" t="s">
        <v>444</v>
      </c>
      <c r="F77" t="s">
        <v>445</v>
      </c>
    </row>
    <row r="78" spans="1:6" x14ac:dyDescent="0.2">
      <c r="A78" t="s">
        <v>446</v>
      </c>
      <c r="B78" t="s">
        <v>447</v>
      </c>
      <c r="C78" t="s">
        <v>448</v>
      </c>
      <c r="D78" t="s">
        <v>449</v>
      </c>
      <c r="E78" t="s">
        <v>450</v>
      </c>
      <c r="F78" t="s">
        <v>451</v>
      </c>
    </row>
    <row r="79" spans="1:6" x14ac:dyDescent="0.2">
      <c r="A79" t="s">
        <v>452</v>
      </c>
      <c r="B79" t="s">
        <v>453</v>
      </c>
      <c r="C79" t="s">
        <v>454</v>
      </c>
      <c r="D79" t="s">
        <v>455</v>
      </c>
      <c r="E79" t="s">
        <v>456</v>
      </c>
      <c r="F79" t="s">
        <v>457</v>
      </c>
    </row>
    <row r="80" spans="1:6" x14ac:dyDescent="0.2">
      <c r="A80" t="s">
        <v>458</v>
      </c>
      <c r="B80" t="s">
        <v>459</v>
      </c>
      <c r="C80" t="s">
        <v>460</v>
      </c>
      <c r="D80" t="s">
        <v>461</v>
      </c>
      <c r="E80" t="s">
        <v>462</v>
      </c>
      <c r="F80" t="s">
        <v>463</v>
      </c>
    </row>
    <row r="81" spans="1:6" x14ac:dyDescent="0.2">
      <c r="A81" t="s">
        <v>464</v>
      </c>
      <c r="B81" t="s">
        <v>465</v>
      </c>
      <c r="C81" t="s">
        <v>466</v>
      </c>
      <c r="D81" t="s">
        <v>467</v>
      </c>
      <c r="E81" t="s">
        <v>468</v>
      </c>
      <c r="F81" t="s">
        <v>469</v>
      </c>
    </row>
    <row r="82" spans="1:6" x14ac:dyDescent="0.2">
      <c r="A82" t="s">
        <v>470</v>
      </c>
      <c r="B82" t="s">
        <v>471</v>
      </c>
      <c r="C82" t="s">
        <v>472</v>
      </c>
      <c r="D82" t="s">
        <v>473</v>
      </c>
      <c r="E82" t="s">
        <v>474</v>
      </c>
      <c r="F82" t="s">
        <v>475</v>
      </c>
    </row>
    <row r="83" spans="1:6" x14ac:dyDescent="0.2">
      <c r="A83" t="s">
        <v>476</v>
      </c>
      <c r="B83" t="s">
        <v>477</v>
      </c>
      <c r="C83" t="s">
        <v>478</v>
      </c>
      <c r="D83" t="s">
        <v>479</v>
      </c>
      <c r="E83" t="s">
        <v>480</v>
      </c>
      <c r="F83" t="s">
        <v>481</v>
      </c>
    </row>
    <row r="84" spans="1:6" x14ac:dyDescent="0.2">
      <c r="A84" t="s">
        <v>482</v>
      </c>
      <c r="B84" t="s">
        <v>483</v>
      </c>
      <c r="C84" t="s">
        <v>484</v>
      </c>
      <c r="D84" t="s">
        <v>485</v>
      </c>
      <c r="E84" t="s">
        <v>486</v>
      </c>
      <c r="F84" t="s">
        <v>487</v>
      </c>
    </row>
    <row r="85" spans="1:6" x14ac:dyDescent="0.2">
      <c r="A85" t="s">
        <v>488</v>
      </c>
      <c r="B85" t="s">
        <v>489</v>
      </c>
      <c r="C85" t="s">
        <v>490</v>
      </c>
      <c r="D85" t="s">
        <v>491</v>
      </c>
      <c r="E85" t="s">
        <v>492</v>
      </c>
      <c r="F85" t="s">
        <v>493</v>
      </c>
    </row>
    <row r="86" spans="1:6" x14ac:dyDescent="0.2">
      <c r="A86" t="s">
        <v>494</v>
      </c>
      <c r="B86" t="s">
        <v>495</v>
      </c>
      <c r="C86" t="s">
        <v>496</v>
      </c>
      <c r="D86" t="s">
        <v>497</v>
      </c>
      <c r="E86" t="s">
        <v>498</v>
      </c>
      <c r="F86" t="s">
        <v>499</v>
      </c>
    </row>
    <row r="87" spans="1:6" x14ac:dyDescent="0.2">
      <c r="A87" t="s">
        <v>500</v>
      </c>
      <c r="B87" t="s">
        <v>501</v>
      </c>
      <c r="C87" t="s">
        <v>502</v>
      </c>
      <c r="D87" t="s">
        <v>503</v>
      </c>
      <c r="E87" t="s">
        <v>504</v>
      </c>
      <c r="F87" t="s">
        <v>505</v>
      </c>
    </row>
    <row r="88" spans="1:6" x14ac:dyDescent="0.2">
      <c r="A88" t="s">
        <v>506</v>
      </c>
      <c r="B88" t="s">
        <v>507</v>
      </c>
      <c r="C88" t="s">
        <v>508</v>
      </c>
      <c r="D88" t="s">
        <v>509</v>
      </c>
      <c r="E88" t="s">
        <v>510</v>
      </c>
      <c r="F88" t="s">
        <v>511</v>
      </c>
    </row>
    <row r="89" spans="1:6" x14ac:dyDescent="0.2">
      <c r="A89" t="s">
        <v>512</v>
      </c>
      <c r="B89" t="s">
        <v>513</v>
      </c>
      <c r="C89" t="s">
        <v>514</v>
      </c>
      <c r="D89" t="s">
        <v>515</v>
      </c>
      <c r="E89" t="s">
        <v>516</v>
      </c>
      <c r="F89" t="s">
        <v>517</v>
      </c>
    </row>
    <row r="90" spans="1:6" x14ac:dyDescent="0.2">
      <c r="A90" t="s">
        <v>518</v>
      </c>
      <c r="B90" t="s">
        <v>519</v>
      </c>
      <c r="C90" t="s">
        <v>520</v>
      </c>
      <c r="D90" t="s">
        <v>521</v>
      </c>
      <c r="E90" t="s">
        <v>522</v>
      </c>
      <c r="F90" t="s">
        <v>523</v>
      </c>
    </row>
    <row r="91" spans="1:6" x14ac:dyDescent="0.2">
      <c r="A91" t="s">
        <v>524</v>
      </c>
      <c r="B91" t="s">
        <v>525</v>
      </c>
      <c r="C91" t="s">
        <v>526</v>
      </c>
      <c r="D91" t="s">
        <v>527</v>
      </c>
      <c r="E91" t="s">
        <v>528</v>
      </c>
      <c r="F91" t="s">
        <v>529</v>
      </c>
    </row>
    <row r="92" spans="1:6" x14ac:dyDescent="0.2">
      <c r="A92" t="s">
        <v>530</v>
      </c>
      <c r="B92" t="s">
        <v>531</v>
      </c>
      <c r="C92" t="s">
        <v>532</v>
      </c>
      <c r="D92" t="s">
        <v>533</v>
      </c>
      <c r="E92" t="s">
        <v>534</v>
      </c>
      <c r="F92" t="s">
        <v>535</v>
      </c>
    </row>
    <row r="93" spans="1:6" x14ac:dyDescent="0.2">
      <c r="A93" t="s">
        <v>536</v>
      </c>
      <c r="B93" t="s">
        <v>537</v>
      </c>
      <c r="C93" t="s">
        <v>538</v>
      </c>
      <c r="D93" t="s">
        <v>539</v>
      </c>
      <c r="E93" t="s">
        <v>540</v>
      </c>
      <c r="F93" t="s">
        <v>541</v>
      </c>
    </row>
    <row r="94" spans="1:6" x14ac:dyDescent="0.2">
      <c r="A94" t="s">
        <v>542</v>
      </c>
      <c r="B94" t="s">
        <v>543</v>
      </c>
      <c r="C94" t="s">
        <v>544</v>
      </c>
      <c r="D94" t="s">
        <v>545</v>
      </c>
      <c r="E94" t="s">
        <v>546</v>
      </c>
      <c r="F94" t="s">
        <v>547</v>
      </c>
    </row>
    <row r="95" spans="1:6" x14ac:dyDescent="0.2">
      <c r="A95" t="s">
        <v>548</v>
      </c>
      <c r="B95" t="s">
        <v>549</v>
      </c>
      <c r="C95" t="s">
        <v>550</v>
      </c>
      <c r="D95" t="s">
        <v>551</v>
      </c>
      <c r="E95" t="s">
        <v>552</v>
      </c>
      <c r="F95" t="s">
        <v>553</v>
      </c>
    </row>
    <row r="96" spans="1:6" x14ac:dyDescent="0.2">
      <c r="A96" t="s">
        <v>554</v>
      </c>
      <c r="B96" t="s">
        <v>555</v>
      </c>
      <c r="C96" t="s">
        <v>556</v>
      </c>
      <c r="D96" t="s">
        <v>557</v>
      </c>
      <c r="E96" t="s">
        <v>558</v>
      </c>
      <c r="F96" t="s">
        <v>559</v>
      </c>
    </row>
    <row r="97" spans="1:6" x14ac:dyDescent="0.2">
      <c r="A97" t="s">
        <v>560</v>
      </c>
      <c r="B97" t="s">
        <v>561</v>
      </c>
      <c r="C97" t="s">
        <v>562</v>
      </c>
      <c r="D97" t="s">
        <v>563</v>
      </c>
      <c r="E97" t="s">
        <v>564</v>
      </c>
      <c r="F97" t="s">
        <v>565</v>
      </c>
    </row>
    <row r="98" spans="1:6" x14ac:dyDescent="0.2">
      <c r="A98" t="s">
        <v>566</v>
      </c>
      <c r="B98" t="s">
        <v>567</v>
      </c>
      <c r="C98" t="s">
        <v>568</v>
      </c>
      <c r="D98" t="s">
        <v>569</v>
      </c>
      <c r="E98" t="s">
        <v>570</v>
      </c>
      <c r="F98" t="s">
        <v>571</v>
      </c>
    </row>
    <row r="99" spans="1:6" x14ac:dyDescent="0.2">
      <c r="A99" t="s">
        <v>572</v>
      </c>
      <c r="B99" t="s">
        <v>573</v>
      </c>
      <c r="C99" t="s">
        <v>574</v>
      </c>
      <c r="D99" t="s">
        <v>575</v>
      </c>
      <c r="E99" t="s">
        <v>576</v>
      </c>
      <c r="F99" t="s">
        <v>577</v>
      </c>
    </row>
    <row r="100" spans="1:6" x14ac:dyDescent="0.2">
      <c r="A100" t="s">
        <v>578</v>
      </c>
      <c r="B100" t="s">
        <v>579</v>
      </c>
      <c r="C100" t="s">
        <v>580</v>
      </c>
      <c r="D100" t="s">
        <v>581</v>
      </c>
      <c r="E100" t="s">
        <v>582</v>
      </c>
      <c r="F100" t="s">
        <v>583</v>
      </c>
    </row>
    <row r="101" spans="1:6" x14ac:dyDescent="0.2">
      <c r="A101" t="s">
        <v>584</v>
      </c>
      <c r="B101" t="s">
        <v>585</v>
      </c>
      <c r="C101" t="s">
        <v>586</v>
      </c>
      <c r="D101" t="s">
        <v>587</v>
      </c>
      <c r="E101" t="s">
        <v>588</v>
      </c>
      <c r="F101" t="s">
        <v>589</v>
      </c>
    </row>
    <row r="102" spans="1:6" x14ac:dyDescent="0.2">
      <c r="A102" t="s">
        <v>590</v>
      </c>
      <c r="B102" t="s">
        <v>591</v>
      </c>
      <c r="C102" t="s">
        <v>592</v>
      </c>
      <c r="D102" t="s">
        <v>593</v>
      </c>
      <c r="E102" t="s">
        <v>594</v>
      </c>
      <c r="F102" t="s">
        <v>595</v>
      </c>
    </row>
    <row r="103" spans="1:6" x14ac:dyDescent="0.2">
      <c r="A103" t="s">
        <v>596</v>
      </c>
      <c r="B103" t="s">
        <v>597</v>
      </c>
      <c r="C103" t="s">
        <v>598</v>
      </c>
      <c r="D103" t="s">
        <v>599</v>
      </c>
      <c r="E103" t="s">
        <v>600</v>
      </c>
      <c r="F103" t="s">
        <v>601</v>
      </c>
    </row>
    <row r="104" spans="1:6" x14ac:dyDescent="0.2">
      <c r="A104" t="s">
        <v>602</v>
      </c>
      <c r="B104" t="s">
        <v>603</v>
      </c>
      <c r="C104" t="s">
        <v>604</v>
      </c>
      <c r="D104" t="s">
        <v>605</v>
      </c>
      <c r="E104" t="s">
        <v>606</v>
      </c>
      <c r="F104" t="s">
        <v>607</v>
      </c>
    </row>
    <row r="105" spans="1:6" x14ac:dyDescent="0.2">
      <c r="A105" t="s">
        <v>608</v>
      </c>
      <c r="B105" t="s">
        <v>609</v>
      </c>
      <c r="C105" t="s">
        <v>610</v>
      </c>
      <c r="D105" t="s">
        <v>611</v>
      </c>
      <c r="E105" t="s">
        <v>612</v>
      </c>
      <c r="F105" t="s">
        <v>613</v>
      </c>
    </row>
    <row r="106" spans="1:6" x14ac:dyDescent="0.2">
      <c r="A106" t="s">
        <v>614</v>
      </c>
      <c r="B106" t="s">
        <v>615</v>
      </c>
      <c r="C106" t="s">
        <v>616</v>
      </c>
      <c r="D106" t="s">
        <v>617</v>
      </c>
      <c r="E106" t="s">
        <v>618</v>
      </c>
      <c r="F106" t="s">
        <v>619</v>
      </c>
    </row>
    <row r="107" spans="1:6" x14ac:dyDescent="0.2">
      <c r="A107" t="s">
        <v>620</v>
      </c>
      <c r="B107" t="s">
        <v>621</v>
      </c>
      <c r="C107" t="s">
        <v>622</v>
      </c>
      <c r="D107" t="s">
        <v>623</v>
      </c>
      <c r="E107" t="s">
        <v>624</v>
      </c>
      <c r="F107" t="s">
        <v>625</v>
      </c>
    </row>
    <row r="108" spans="1:6" x14ac:dyDescent="0.2">
      <c r="A108" t="s">
        <v>626</v>
      </c>
      <c r="B108" t="s">
        <v>627</v>
      </c>
      <c r="C108" t="s">
        <v>628</v>
      </c>
      <c r="D108" t="s">
        <v>629</v>
      </c>
      <c r="E108" t="s">
        <v>630</v>
      </c>
      <c r="F108" t="s">
        <v>631</v>
      </c>
    </row>
    <row r="109" spans="1:6" x14ac:dyDescent="0.2">
      <c r="A109" t="s">
        <v>632</v>
      </c>
      <c r="B109" t="s">
        <v>633</v>
      </c>
      <c r="C109" t="s">
        <v>634</v>
      </c>
      <c r="D109" t="s">
        <v>635</v>
      </c>
      <c r="E109" t="s">
        <v>636</v>
      </c>
      <c r="F109" t="s">
        <v>637</v>
      </c>
    </row>
    <row r="110" spans="1:6" x14ac:dyDescent="0.2">
      <c r="A110" t="s">
        <v>638</v>
      </c>
      <c r="B110" t="s">
        <v>639</v>
      </c>
      <c r="C110" t="s">
        <v>640</v>
      </c>
      <c r="D110" t="s">
        <v>641</v>
      </c>
      <c r="E110" t="s">
        <v>642</v>
      </c>
      <c r="F110" t="s">
        <v>643</v>
      </c>
    </row>
    <row r="111" spans="1:6" x14ac:dyDescent="0.2">
      <c r="A111" t="s">
        <v>644</v>
      </c>
      <c r="B111" t="s">
        <v>645</v>
      </c>
      <c r="C111" t="s">
        <v>646</v>
      </c>
      <c r="D111" t="s">
        <v>647</v>
      </c>
      <c r="E111" t="s">
        <v>648</v>
      </c>
      <c r="F111" t="s">
        <v>649</v>
      </c>
    </row>
    <row r="112" spans="1:6" x14ac:dyDescent="0.2">
      <c r="A112" t="s">
        <v>650</v>
      </c>
      <c r="B112" t="s">
        <v>651</v>
      </c>
      <c r="C112" t="s">
        <v>652</v>
      </c>
      <c r="D112" t="s">
        <v>653</v>
      </c>
      <c r="E112" t="s">
        <v>654</v>
      </c>
      <c r="F112" t="s">
        <v>655</v>
      </c>
    </row>
    <row r="113" spans="1:6" x14ac:dyDescent="0.2">
      <c r="A113" t="s">
        <v>656</v>
      </c>
      <c r="B113" t="s">
        <v>657</v>
      </c>
      <c r="C113" t="s">
        <v>658</v>
      </c>
      <c r="D113" t="s">
        <v>659</v>
      </c>
      <c r="E113" t="s">
        <v>660</v>
      </c>
      <c r="F113" t="s">
        <v>661</v>
      </c>
    </row>
    <row r="114" spans="1:6" x14ac:dyDescent="0.2">
      <c r="A114" t="s">
        <v>662</v>
      </c>
      <c r="B114" t="s">
        <v>663</v>
      </c>
      <c r="C114" t="s">
        <v>664</v>
      </c>
      <c r="D114" t="s">
        <v>665</v>
      </c>
      <c r="E114" t="s">
        <v>666</v>
      </c>
      <c r="F114" t="s">
        <v>667</v>
      </c>
    </row>
    <row r="115" spans="1:6" x14ac:dyDescent="0.2">
      <c r="A115" t="s">
        <v>668</v>
      </c>
      <c r="B115" t="s">
        <v>669</v>
      </c>
      <c r="C115" t="s">
        <v>670</v>
      </c>
      <c r="D115" t="s">
        <v>671</v>
      </c>
      <c r="E115" t="s">
        <v>672</v>
      </c>
      <c r="F115" t="s">
        <v>673</v>
      </c>
    </row>
    <row r="116" spans="1:6" x14ac:dyDescent="0.2">
      <c r="A116" t="s">
        <v>674</v>
      </c>
      <c r="B116" t="s">
        <v>675</v>
      </c>
      <c r="C116" t="s">
        <v>676</v>
      </c>
      <c r="D116" t="s">
        <v>677</v>
      </c>
      <c r="E116" t="s">
        <v>678</v>
      </c>
      <c r="F116" t="s">
        <v>679</v>
      </c>
    </row>
    <row r="117" spans="1:6" x14ac:dyDescent="0.2">
      <c r="A117" t="s">
        <v>680</v>
      </c>
      <c r="B117" t="s">
        <v>681</v>
      </c>
      <c r="C117" t="s">
        <v>682</v>
      </c>
      <c r="D117" t="s">
        <v>683</v>
      </c>
      <c r="E117" t="s">
        <v>684</v>
      </c>
      <c r="F117" t="s">
        <v>685</v>
      </c>
    </row>
    <row r="118" spans="1:6" x14ac:dyDescent="0.2">
      <c r="A118" t="s">
        <v>686</v>
      </c>
      <c r="B118" t="s">
        <v>687</v>
      </c>
      <c r="C118" t="s">
        <v>688</v>
      </c>
      <c r="D118" t="s">
        <v>689</v>
      </c>
      <c r="E118" t="s">
        <v>690</v>
      </c>
      <c r="F118" t="s">
        <v>691</v>
      </c>
    </row>
    <row r="119" spans="1:6" x14ac:dyDescent="0.2">
      <c r="A119" t="s">
        <v>692</v>
      </c>
      <c r="B119" t="s">
        <v>693</v>
      </c>
      <c r="C119" t="s">
        <v>694</v>
      </c>
      <c r="D119" t="s">
        <v>695</v>
      </c>
      <c r="E119" t="s">
        <v>696</v>
      </c>
      <c r="F119" t="s">
        <v>697</v>
      </c>
    </row>
    <row r="120" spans="1:6" x14ac:dyDescent="0.2">
      <c r="A120" t="s">
        <v>698</v>
      </c>
      <c r="B120" t="s">
        <v>699</v>
      </c>
      <c r="C120" t="s">
        <v>700</v>
      </c>
      <c r="D120" t="s">
        <v>701</v>
      </c>
      <c r="E120" t="s">
        <v>702</v>
      </c>
      <c r="F120" t="s">
        <v>703</v>
      </c>
    </row>
    <row r="121" spans="1:6" x14ac:dyDescent="0.2">
      <c r="A121" t="s">
        <v>704</v>
      </c>
      <c r="B121" t="s">
        <v>705</v>
      </c>
      <c r="C121" t="s">
        <v>706</v>
      </c>
      <c r="D121" t="s">
        <v>707</v>
      </c>
      <c r="E121" t="s">
        <v>708</v>
      </c>
      <c r="F121" t="s">
        <v>709</v>
      </c>
    </row>
    <row r="122" spans="1:6" x14ac:dyDescent="0.2">
      <c r="A122" t="s">
        <v>710</v>
      </c>
      <c r="B122" t="s">
        <v>711</v>
      </c>
      <c r="C122" t="s">
        <v>712</v>
      </c>
      <c r="D122" t="s">
        <v>713</v>
      </c>
      <c r="E122" t="s">
        <v>714</v>
      </c>
      <c r="F122" t="s">
        <v>715</v>
      </c>
    </row>
    <row r="123" spans="1:6" x14ac:dyDescent="0.2">
      <c r="A123" t="s">
        <v>716</v>
      </c>
      <c r="B123" t="s">
        <v>717</v>
      </c>
      <c r="C123" t="s">
        <v>718</v>
      </c>
      <c r="D123" t="s">
        <v>719</v>
      </c>
      <c r="E123" t="s">
        <v>720</v>
      </c>
      <c r="F123" t="s">
        <v>721</v>
      </c>
    </row>
    <row r="124" spans="1:6" x14ac:dyDescent="0.2">
      <c r="A124" t="s">
        <v>722</v>
      </c>
      <c r="B124" t="s">
        <v>723</v>
      </c>
      <c r="C124" t="s">
        <v>724</v>
      </c>
      <c r="D124" t="s">
        <v>725</v>
      </c>
      <c r="E124" t="s">
        <v>726</v>
      </c>
      <c r="F124" t="s">
        <v>727</v>
      </c>
    </row>
    <row r="125" spans="1:6" x14ac:dyDescent="0.2">
      <c r="A125" t="s">
        <v>728</v>
      </c>
      <c r="B125" t="s">
        <v>729</v>
      </c>
      <c r="C125" t="s">
        <v>730</v>
      </c>
      <c r="D125" t="s">
        <v>731</v>
      </c>
      <c r="E125" t="s">
        <v>732</v>
      </c>
      <c r="F125" t="s">
        <v>733</v>
      </c>
    </row>
    <row r="126" spans="1:6" x14ac:dyDescent="0.2">
      <c r="A126" t="s">
        <v>734</v>
      </c>
      <c r="B126" t="s">
        <v>735</v>
      </c>
      <c r="C126" t="s">
        <v>736</v>
      </c>
      <c r="D126" t="s">
        <v>737</v>
      </c>
      <c r="E126" t="s">
        <v>738</v>
      </c>
      <c r="F126" t="s">
        <v>739</v>
      </c>
    </row>
    <row r="127" spans="1:6" x14ac:dyDescent="0.2">
      <c r="A127" t="s">
        <v>740</v>
      </c>
      <c r="B127" t="s">
        <v>741</v>
      </c>
      <c r="C127" t="s">
        <v>742</v>
      </c>
      <c r="D127" t="s">
        <v>743</v>
      </c>
      <c r="E127" t="s">
        <v>744</v>
      </c>
      <c r="F127" t="s">
        <v>745</v>
      </c>
    </row>
    <row r="128" spans="1:6" x14ac:dyDescent="0.2">
      <c r="A128" t="s">
        <v>746</v>
      </c>
      <c r="B128" t="s">
        <v>747</v>
      </c>
      <c r="C128" t="s">
        <v>748</v>
      </c>
      <c r="D128" t="s">
        <v>749</v>
      </c>
      <c r="E128" t="s">
        <v>750</v>
      </c>
      <c r="F128" t="s">
        <v>751</v>
      </c>
    </row>
    <row r="129" spans="1:6" x14ac:dyDescent="0.2">
      <c r="A129" t="s">
        <v>752</v>
      </c>
      <c r="B129" t="s">
        <v>753</v>
      </c>
      <c r="C129" t="s">
        <v>754</v>
      </c>
      <c r="D129" t="s">
        <v>755</v>
      </c>
      <c r="E129" t="s">
        <v>756</v>
      </c>
      <c r="F129" t="s">
        <v>757</v>
      </c>
    </row>
    <row r="130" spans="1:6" x14ac:dyDescent="0.2">
      <c r="A130" t="s">
        <v>758</v>
      </c>
      <c r="B130" t="s">
        <v>759</v>
      </c>
      <c r="C130" t="s">
        <v>760</v>
      </c>
      <c r="D130" t="s">
        <v>761</v>
      </c>
      <c r="E130" t="s">
        <v>762</v>
      </c>
      <c r="F130" t="s">
        <v>763</v>
      </c>
    </row>
    <row r="131" spans="1:6" x14ac:dyDescent="0.2">
      <c r="A131" t="s">
        <v>764</v>
      </c>
      <c r="B131" t="s">
        <v>765</v>
      </c>
      <c r="C131" t="s">
        <v>766</v>
      </c>
      <c r="D131" t="s">
        <v>767</v>
      </c>
      <c r="E131" t="s">
        <v>730</v>
      </c>
      <c r="F131" t="s">
        <v>732</v>
      </c>
    </row>
    <row r="132" spans="1:6" x14ac:dyDescent="0.2">
      <c r="A132" t="s">
        <v>768</v>
      </c>
      <c r="B132" t="s">
        <v>769</v>
      </c>
      <c r="C132" t="s">
        <v>770</v>
      </c>
      <c r="D132" t="s">
        <v>771</v>
      </c>
      <c r="E132" t="s">
        <v>772</v>
      </c>
      <c r="F132" t="s">
        <v>773</v>
      </c>
    </row>
    <row r="133" spans="1:6" x14ac:dyDescent="0.2">
      <c r="A133" t="s">
        <v>774</v>
      </c>
      <c r="B133" t="s">
        <v>775</v>
      </c>
      <c r="C133" t="s">
        <v>776</v>
      </c>
      <c r="D133" t="s">
        <v>777</v>
      </c>
      <c r="E133" t="s">
        <v>778</v>
      </c>
      <c r="F133" t="s">
        <v>779</v>
      </c>
    </row>
    <row r="134" spans="1:6" x14ac:dyDescent="0.2">
      <c r="A134" t="s">
        <v>780</v>
      </c>
      <c r="B134" t="s">
        <v>781</v>
      </c>
      <c r="C134" t="s">
        <v>782</v>
      </c>
      <c r="D134" t="s">
        <v>783</v>
      </c>
      <c r="E134" t="s">
        <v>784</v>
      </c>
      <c r="F134" t="s">
        <v>785</v>
      </c>
    </row>
    <row r="135" spans="1:6" x14ac:dyDescent="0.2">
      <c r="A135" t="s">
        <v>786</v>
      </c>
      <c r="B135" t="s">
        <v>787</v>
      </c>
      <c r="C135" t="s">
        <v>788</v>
      </c>
      <c r="D135" t="s">
        <v>789</v>
      </c>
      <c r="E135" t="s">
        <v>790</v>
      </c>
      <c r="F135" t="s">
        <v>791</v>
      </c>
    </row>
    <row r="136" spans="1:6" x14ac:dyDescent="0.2">
      <c r="A136" t="s">
        <v>792</v>
      </c>
      <c r="B136" t="s">
        <v>793</v>
      </c>
      <c r="C136" t="s">
        <v>794</v>
      </c>
      <c r="D136" t="s">
        <v>795</v>
      </c>
      <c r="E136" t="s">
        <v>796</v>
      </c>
      <c r="F136" t="s">
        <v>797</v>
      </c>
    </row>
    <row r="137" spans="1:6" x14ac:dyDescent="0.2">
      <c r="A137" t="s">
        <v>798</v>
      </c>
      <c r="B137" t="s">
        <v>799</v>
      </c>
      <c r="C137" t="s">
        <v>800</v>
      </c>
      <c r="D137" t="s">
        <v>801</v>
      </c>
      <c r="E137" t="s">
        <v>802</v>
      </c>
      <c r="F137" t="s">
        <v>803</v>
      </c>
    </row>
    <row r="138" spans="1:6" x14ac:dyDescent="0.2">
      <c r="A138" t="s">
        <v>804</v>
      </c>
      <c r="B138" t="s">
        <v>805</v>
      </c>
      <c r="C138" t="s">
        <v>806</v>
      </c>
      <c r="D138" t="s">
        <v>807</v>
      </c>
      <c r="E138" t="s">
        <v>808</v>
      </c>
      <c r="F138" t="s">
        <v>809</v>
      </c>
    </row>
    <row r="139" spans="1:6" x14ac:dyDescent="0.2">
      <c r="A139" t="s">
        <v>810</v>
      </c>
      <c r="B139" t="s">
        <v>811</v>
      </c>
      <c r="C139" t="s">
        <v>812</v>
      </c>
      <c r="D139" t="s">
        <v>813</v>
      </c>
      <c r="E139" t="s">
        <v>814</v>
      </c>
      <c r="F139" t="s">
        <v>815</v>
      </c>
    </row>
    <row r="140" spans="1:6" x14ac:dyDescent="0.2">
      <c r="A140" t="s">
        <v>816</v>
      </c>
      <c r="B140" t="s">
        <v>817</v>
      </c>
      <c r="C140" t="s">
        <v>818</v>
      </c>
      <c r="D140" t="s">
        <v>819</v>
      </c>
      <c r="E140" t="s">
        <v>820</v>
      </c>
      <c r="F140" t="s">
        <v>821</v>
      </c>
    </row>
    <row r="141" spans="1:6" x14ac:dyDescent="0.2">
      <c r="A141" t="s">
        <v>822</v>
      </c>
      <c r="B141" t="s">
        <v>823</v>
      </c>
      <c r="C141" t="s">
        <v>796</v>
      </c>
      <c r="D141" t="s">
        <v>824</v>
      </c>
      <c r="E141" t="s">
        <v>794</v>
      </c>
      <c r="F141" t="s">
        <v>730</v>
      </c>
    </row>
    <row r="142" spans="1:6" x14ac:dyDescent="0.2">
      <c r="A142" t="s">
        <v>825</v>
      </c>
      <c r="B142" t="s">
        <v>826</v>
      </c>
      <c r="C142" t="s">
        <v>827</v>
      </c>
      <c r="D142" t="s">
        <v>828</v>
      </c>
      <c r="E142" t="s">
        <v>829</v>
      </c>
      <c r="F142" t="s">
        <v>830</v>
      </c>
    </row>
    <row r="143" spans="1:6" x14ac:dyDescent="0.2">
      <c r="A143" t="s">
        <v>831</v>
      </c>
      <c r="B143" t="s">
        <v>832</v>
      </c>
      <c r="C143" t="s">
        <v>833</v>
      </c>
      <c r="D143" t="s">
        <v>834</v>
      </c>
      <c r="E143" t="s">
        <v>835</v>
      </c>
      <c r="F143" t="s">
        <v>836</v>
      </c>
    </row>
    <row r="144" spans="1:6" x14ac:dyDescent="0.2">
      <c r="A144" t="s">
        <v>837</v>
      </c>
      <c r="B144" t="s">
        <v>838</v>
      </c>
      <c r="C144" t="s">
        <v>839</v>
      </c>
      <c r="D144" t="s">
        <v>840</v>
      </c>
      <c r="E144" t="s">
        <v>841</v>
      </c>
      <c r="F144" t="s">
        <v>842</v>
      </c>
    </row>
    <row r="145" spans="1:6" x14ac:dyDescent="0.2">
      <c r="A145" t="s">
        <v>843</v>
      </c>
      <c r="B145" t="s">
        <v>844</v>
      </c>
      <c r="C145" t="s">
        <v>797</v>
      </c>
      <c r="D145" t="s">
        <v>730</v>
      </c>
      <c r="E145" t="s">
        <v>766</v>
      </c>
      <c r="F145" t="s">
        <v>732</v>
      </c>
    </row>
    <row r="146" spans="1:6" x14ac:dyDescent="0.2">
      <c r="A146" t="s">
        <v>845</v>
      </c>
      <c r="B146" t="s">
        <v>846</v>
      </c>
      <c r="C146" t="s">
        <v>847</v>
      </c>
      <c r="D146" t="s">
        <v>848</v>
      </c>
      <c r="E146" t="s">
        <v>849</v>
      </c>
      <c r="F146" t="s">
        <v>850</v>
      </c>
    </row>
    <row r="147" spans="1:6" x14ac:dyDescent="0.2">
      <c r="A147" t="s">
        <v>851</v>
      </c>
      <c r="B147" t="s">
        <v>852</v>
      </c>
      <c r="C147" t="e">
        <f>--p-sampling-depth</f>
        <v>#NAME?</v>
      </c>
      <c r="D147" t="e">
        <f>--p-min-frequency</f>
        <v>#NAME?</v>
      </c>
      <c r="E147" t="e">
        <f>--p-max-depth</f>
        <v>#NAME?</v>
      </c>
      <c r="F147" t="e">
        <f>--p-trim-left</f>
        <v>#NAME?</v>
      </c>
    </row>
    <row r="148" spans="1:6" x14ac:dyDescent="0.2">
      <c r="A148" t="s">
        <v>853</v>
      </c>
      <c r="B148" t="s">
        <v>854</v>
      </c>
      <c r="C148" t="s">
        <v>343</v>
      </c>
      <c r="D148" t="s">
        <v>855</v>
      </c>
      <c r="E148" t="s">
        <v>856</v>
      </c>
      <c r="F148" t="s">
        <v>857</v>
      </c>
    </row>
    <row r="149" spans="1:6" x14ac:dyDescent="0.2">
      <c r="A149" t="s">
        <v>858</v>
      </c>
      <c r="B149" t="s">
        <v>859</v>
      </c>
      <c r="C149" t="s">
        <v>860</v>
      </c>
      <c r="D149" t="s">
        <v>861</v>
      </c>
      <c r="E149" t="s">
        <v>862</v>
      </c>
      <c r="F149" t="s">
        <v>863</v>
      </c>
    </row>
    <row r="150" spans="1:6" x14ac:dyDescent="0.2">
      <c r="A150" t="s">
        <v>864</v>
      </c>
      <c r="B150" t="s">
        <v>865</v>
      </c>
      <c r="C150" t="s">
        <v>850</v>
      </c>
      <c r="D150" t="s">
        <v>866</v>
      </c>
      <c r="E150" t="s">
        <v>848</v>
      </c>
      <c r="F150" t="s">
        <v>847</v>
      </c>
    </row>
    <row r="151" spans="1:6" x14ac:dyDescent="0.2">
      <c r="A151" t="s">
        <v>867</v>
      </c>
      <c r="B151" t="s">
        <v>868</v>
      </c>
      <c r="C151" t="s">
        <v>869</v>
      </c>
      <c r="D151" t="s">
        <v>870</v>
      </c>
      <c r="E151" t="s">
        <v>871</v>
      </c>
      <c r="F151" t="s">
        <v>872</v>
      </c>
    </row>
    <row r="152" spans="1:6" x14ac:dyDescent="0.2">
      <c r="A152" t="s">
        <v>873</v>
      </c>
      <c r="B152" t="s">
        <v>874</v>
      </c>
      <c r="C152" t="s">
        <v>875</v>
      </c>
      <c r="D152" t="s">
        <v>876</v>
      </c>
      <c r="E152" t="s">
        <v>877</v>
      </c>
      <c r="F152" t="s">
        <v>878</v>
      </c>
    </row>
    <row r="153" spans="1:6" x14ac:dyDescent="0.2">
      <c r="A153" t="s">
        <v>879</v>
      </c>
      <c r="B153" t="s">
        <v>880</v>
      </c>
      <c r="C153" t="s">
        <v>343</v>
      </c>
      <c r="D153" t="s">
        <v>855</v>
      </c>
      <c r="E153" t="s">
        <v>345</v>
      </c>
      <c r="F153" t="s">
        <v>856</v>
      </c>
    </row>
    <row r="154" spans="1:6" x14ac:dyDescent="0.2">
      <c r="A154" t="s">
        <v>881</v>
      </c>
      <c r="B154" t="s">
        <v>882</v>
      </c>
      <c r="C154" t="s">
        <v>883</v>
      </c>
      <c r="D154" t="s">
        <v>884</v>
      </c>
      <c r="E154" t="s">
        <v>885</v>
      </c>
      <c r="F154" t="s">
        <v>886</v>
      </c>
    </row>
    <row r="155" spans="1:6" x14ac:dyDescent="0.2">
      <c r="A155" t="s">
        <v>887</v>
      </c>
      <c r="B155" t="s">
        <v>888</v>
      </c>
      <c r="C155" t="s">
        <v>889</v>
      </c>
      <c r="D155" t="s">
        <v>890</v>
      </c>
      <c r="E155" t="s">
        <v>891</v>
      </c>
      <c r="F155" t="s">
        <v>892</v>
      </c>
    </row>
    <row r="156" spans="1:6" x14ac:dyDescent="0.2">
      <c r="A156" t="s">
        <v>893</v>
      </c>
      <c r="B156" t="s">
        <v>894</v>
      </c>
      <c r="C156" t="s">
        <v>895</v>
      </c>
      <c r="D156" t="s">
        <v>896</v>
      </c>
      <c r="E156" t="s">
        <v>897</v>
      </c>
      <c r="F156" t="s">
        <v>898</v>
      </c>
    </row>
    <row r="157" spans="1:6" x14ac:dyDescent="0.2">
      <c r="A157" t="s">
        <v>899</v>
      </c>
      <c r="B157" t="s">
        <v>900</v>
      </c>
      <c r="C157" t="s">
        <v>901</v>
      </c>
      <c r="D157" t="s">
        <v>902</v>
      </c>
      <c r="E157" t="s">
        <v>903</v>
      </c>
      <c r="F157" t="s">
        <v>904</v>
      </c>
    </row>
    <row r="158" spans="1:6" x14ac:dyDescent="0.2">
      <c r="A158" t="s">
        <v>905</v>
      </c>
      <c r="B158" t="s">
        <v>906</v>
      </c>
      <c r="C158" t="s">
        <v>907</v>
      </c>
      <c r="D158" t="s">
        <v>908</v>
      </c>
      <c r="E158" t="s">
        <v>909</v>
      </c>
      <c r="F158" t="s">
        <v>910</v>
      </c>
    </row>
    <row r="159" spans="1:6" x14ac:dyDescent="0.2">
      <c r="A159" t="s">
        <v>911</v>
      </c>
      <c r="B159" t="s">
        <v>912</v>
      </c>
      <c r="C159" t="s">
        <v>913</v>
      </c>
      <c r="D159" t="s">
        <v>914</v>
      </c>
      <c r="E159" t="s">
        <v>915</v>
      </c>
      <c r="F159" t="s">
        <v>916</v>
      </c>
    </row>
    <row r="160" spans="1:6" x14ac:dyDescent="0.2">
      <c r="A160" t="s">
        <v>917</v>
      </c>
      <c r="B160" t="s">
        <v>918</v>
      </c>
      <c r="C160" t="s">
        <v>919</v>
      </c>
      <c r="D160" t="s">
        <v>920</v>
      </c>
      <c r="E160" t="s">
        <v>921</v>
      </c>
      <c r="F160" t="s">
        <v>922</v>
      </c>
    </row>
    <row r="161" spans="1:6" x14ac:dyDescent="0.2">
      <c r="A161" t="s">
        <v>923</v>
      </c>
      <c r="B161" t="s">
        <v>924</v>
      </c>
      <c r="C161" t="s">
        <v>925</v>
      </c>
      <c r="D161" t="s">
        <v>926</v>
      </c>
      <c r="E161" t="s">
        <v>927</v>
      </c>
      <c r="F161" t="s">
        <v>928</v>
      </c>
    </row>
    <row r="162" spans="1:6" x14ac:dyDescent="0.2">
      <c r="A162" t="s">
        <v>929</v>
      </c>
      <c r="B162" t="s">
        <v>930</v>
      </c>
      <c r="C162" t="s">
        <v>931</v>
      </c>
      <c r="D162" t="s">
        <v>932</v>
      </c>
      <c r="E162" t="s">
        <v>933</v>
      </c>
      <c r="F162" t="s">
        <v>934</v>
      </c>
    </row>
    <row r="163" spans="1:6" x14ac:dyDescent="0.2">
      <c r="A163" t="s">
        <v>935</v>
      </c>
      <c r="B163" t="s">
        <v>936</v>
      </c>
      <c r="C163" t="s">
        <v>937</v>
      </c>
      <c r="D163" t="s">
        <v>938</v>
      </c>
      <c r="E163" t="s">
        <v>939</v>
      </c>
      <c r="F163" t="s">
        <v>940</v>
      </c>
    </row>
    <row r="164" spans="1:6" x14ac:dyDescent="0.2">
      <c r="A164" t="s">
        <v>941</v>
      </c>
      <c r="B164" t="s">
        <v>942</v>
      </c>
      <c r="C164" t="s">
        <v>943</v>
      </c>
      <c r="D164" t="s">
        <v>944</v>
      </c>
      <c r="E164" t="s">
        <v>945</v>
      </c>
      <c r="F164" t="s">
        <v>946</v>
      </c>
    </row>
    <row r="165" spans="1:6" x14ac:dyDescent="0.2">
      <c r="A165" t="s">
        <v>947</v>
      </c>
      <c r="B165" t="s">
        <v>948</v>
      </c>
      <c r="C165" t="s">
        <v>949</v>
      </c>
      <c r="D165" t="s">
        <v>950</v>
      </c>
      <c r="E165" t="s">
        <v>951</v>
      </c>
      <c r="F165" t="s">
        <v>952</v>
      </c>
    </row>
    <row r="166" spans="1:6" x14ac:dyDescent="0.2">
      <c r="A166" t="s">
        <v>953</v>
      </c>
      <c r="B166" t="s">
        <v>954</v>
      </c>
      <c r="C166" t="s">
        <v>955</v>
      </c>
      <c r="D166" t="s">
        <v>956</v>
      </c>
      <c r="E166" t="s">
        <v>957</v>
      </c>
      <c r="F166" t="s">
        <v>958</v>
      </c>
    </row>
    <row r="167" spans="1:6" x14ac:dyDescent="0.2">
      <c r="A167" t="s">
        <v>959</v>
      </c>
      <c r="B167" t="s">
        <v>960</v>
      </c>
      <c r="C167" t="s">
        <v>961</v>
      </c>
      <c r="D167" t="s">
        <v>962</v>
      </c>
      <c r="E167" t="s">
        <v>963</v>
      </c>
      <c r="F167" t="s">
        <v>964</v>
      </c>
    </row>
    <row r="168" spans="1:6" x14ac:dyDescent="0.2">
      <c r="A168" t="s">
        <v>965</v>
      </c>
      <c r="B168" t="s">
        <v>966</v>
      </c>
      <c r="C168" t="s">
        <v>967</v>
      </c>
      <c r="D168" t="s">
        <v>968</v>
      </c>
      <c r="E168" t="s">
        <v>969</v>
      </c>
      <c r="F168" t="s">
        <v>970</v>
      </c>
    </row>
    <row r="169" spans="1:6" x14ac:dyDescent="0.2">
      <c r="A169" t="s">
        <v>971</v>
      </c>
      <c r="B169" t="s">
        <v>972</v>
      </c>
      <c r="C169" t="s">
        <v>973</v>
      </c>
      <c r="D169" t="s">
        <v>974</v>
      </c>
      <c r="E169" t="s">
        <v>975</v>
      </c>
      <c r="F169" t="s">
        <v>976</v>
      </c>
    </row>
    <row r="170" spans="1:6" x14ac:dyDescent="0.2">
      <c r="A170" t="s">
        <v>977</v>
      </c>
      <c r="B170" t="s">
        <v>978</v>
      </c>
      <c r="C170" t="s">
        <v>979</v>
      </c>
      <c r="D170" t="s">
        <v>979</v>
      </c>
      <c r="E170" t="s">
        <v>979</v>
      </c>
      <c r="F170" t="s">
        <v>979</v>
      </c>
    </row>
    <row r="171" spans="1:6" x14ac:dyDescent="0.2">
      <c r="A171" t="s">
        <v>980</v>
      </c>
      <c r="B171" t="s">
        <v>981</v>
      </c>
      <c r="C171" t="s">
        <v>979</v>
      </c>
      <c r="D171" t="s">
        <v>979</v>
      </c>
      <c r="E171" t="s">
        <v>979</v>
      </c>
      <c r="F171" t="s">
        <v>979</v>
      </c>
    </row>
    <row r="172" spans="1:6" x14ac:dyDescent="0.2">
      <c r="A172" t="s">
        <v>982</v>
      </c>
      <c r="B172" t="s">
        <v>983</v>
      </c>
      <c r="C172" t="s">
        <v>979</v>
      </c>
      <c r="D172" t="s">
        <v>979</v>
      </c>
      <c r="E172" t="s">
        <v>979</v>
      </c>
      <c r="F172" t="s">
        <v>979</v>
      </c>
    </row>
    <row r="173" spans="1:6" x14ac:dyDescent="0.2">
      <c r="A173" t="s">
        <v>984</v>
      </c>
      <c r="B173" t="s">
        <v>985</v>
      </c>
      <c r="C173" t="s">
        <v>986</v>
      </c>
      <c r="D173" t="s">
        <v>987</v>
      </c>
      <c r="E173" t="s">
        <v>988</v>
      </c>
      <c r="F173" t="s">
        <v>989</v>
      </c>
    </row>
    <row r="174" spans="1:6" x14ac:dyDescent="0.2">
      <c r="A174" t="s">
        <v>990</v>
      </c>
      <c r="B174" t="s">
        <v>991</v>
      </c>
      <c r="C174" t="s">
        <v>992</v>
      </c>
      <c r="D174" t="s">
        <v>993</v>
      </c>
      <c r="E174" t="s">
        <v>994</v>
      </c>
      <c r="F174" t="s">
        <v>995</v>
      </c>
    </row>
    <row r="175" spans="1:6" x14ac:dyDescent="0.2">
      <c r="A175" t="s">
        <v>996</v>
      </c>
      <c r="B175" t="s">
        <v>997</v>
      </c>
      <c r="C175" t="s">
        <v>998</v>
      </c>
      <c r="D175" t="s">
        <v>999</v>
      </c>
      <c r="E175" t="s">
        <v>1000</v>
      </c>
      <c r="F175" t="s">
        <v>1001</v>
      </c>
    </row>
    <row r="176" spans="1:6" x14ac:dyDescent="0.2">
      <c r="A176" t="s">
        <v>1002</v>
      </c>
      <c r="B176" t="s">
        <v>1003</v>
      </c>
      <c r="C176" t="s">
        <v>1004</v>
      </c>
      <c r="D176" t="s">
        <v>1005</v>
      </c>
      <c r="E176" t="s">
        <v>1006</v>
      </c>
      <c r="F176" t="s">
        <v>1007</v>
      </c>
    </row>
    <row r="177" spans="1:6" x14ac:dyDescent="0.2">
      <c r="A177" t="s">
        <v>1008</v>
      </c>
      <c r="B177" t="s">
        <v>1009</v>
      </c>
      <c r="C177" t="s">
        <v>1010</v>
      </c>
      <c r="D177" t="s">
        <v>1011</v>
      </c>
      <c r="E177" t="s">
        <v>1012</v>
      </c>
      <c r="F177" t="s">
        <v>1013</v>
      </c>
    </row>
    <row r="178" spans="1:6" x14ac:dyDescent="0.2">
      <c r="A178" t="s">
        <v>1014</v>
      </c>
      <c r="B178" t="s">
        <v>1015</v>
      </c>
      <c r="C178" t="s">
        <v>1016</v>
      </c>
      <c r="D178" t="s">
        <v>1017</v>
      </c>
      <c r="E178" t="s">
        <v>1018</v>
      </c>
      <c r="F178" t="s">
        <v>1019</v>
      </c>
    </row>
    <row r="179" spans="1:6" x14ac:dyDescent="0.2">
      <c r="A179" t="s">
        <v>1020</v>
      </c>
      <c r="B179" t="s">
        <v>1021</v>
      </c>
      <c r="C179" t="s">
        <v>1022</v>
      </c>
      <c r="D179" t="s">
        <v>1005</v>
      </c>
      <c r="E179" t="s">
        <v>1023</v>
      </c>
      <c r="F179" t="s">
        <v>1024</v>
      </c>
    </row>
    <row r="180" spans="1:6" x14ac:dyDescent="0.2">
      <c r="A180" t="s">
        <v>1025</v>
      </c>
      <c r="B180" t="s">
        <v>1026</v>
      </c>
      <c r="C180" t="s">
        <v>1027</v>
      </c>
      <c r="D180" t="s">
        <v>1028</v>
      </c>
      <c r="E180" t="s">
        <v>1029</v>
      </c>
      <c r="F180" t="s">
        <v>1030</v>
      </c>
    </row>
    <row r="181" spans="1:6" x14ac:dyDescent="0.2">
      <c r="A181" t="s">
        <v>1031</v>
      </c>
      <c r="B181" t="s">
        <v>1032</v>
      </c>
      <c r="C181" t="s">
        <v>1033</v>
      </c>
      <c r="D181" t="s">
        <v>1034</v>
      </c>
      <c r="E181" t="s">
        <v>1035</v>
      </c>
      <c r="F181" t="s">
        <v>1036</v>
      </c>
    </row>
    <row r="182" spans="1:6" x14ac:dyDescent="0.2">
      <c r="A182" t="s">
        <v>1037</v>
      </c>
      <c r="B182" t="s">
        <v>1038</v>
      </c>
      <c r="C182" t="s">
        <v>1039</v>
      </c>
      <c r="D182" t="s">
        <v>1040</v>
      </c>
      <c r="E182" t="s">
        <v>1041</v>
      </c>
      <c r="F182" t="s">
        <v>1042</v>
      </c>
    </row>
    <row r="183" spans="1:6" x14ac:dyDescent="0.2">
      <c r="A183" t="s">
        <v>1043</v>
      </c>
      <c r="B183" t="s">
        <v>1044</v>
      </c>
      <c r="C183" t="s">
        <v>1045</v>
      </c>
      <c r="D183" t="s">
        <v>1046</v>
      </c>
      <c r="E183" t="s">
        <v>1047</v>
      </c>
      <c r="F183" t="s">
        <v>1048</v>
      </c>
    </row>
    <row r="184" spans="1:6" x14ac:dyDescent="0.2">
      <c r="A184" t="s">
        <v>1049</v>
      </c>
      <c r="B184" t="s">
        <v>1050</v>
      </c>
      <c r="C184" t="s">
        <v>1051</v>
      </c>
      <c r="D184" t="s">
        <v>1052</v>
      </c>
      <c r="E184" t="s">
        <v>1053</v>
      </c>
      <c r="F184" t="s">
        <v>1054</v>
      </c>
    </row>
    <row r="185" spans="1:6" x14ac:dyDescent="0.2">
      <c r="A185" t="s">
        <v>1055</v>
      </c>
      <c r="B185" t="s">
        <v>1056</v>
      </c>
      <c r="C185" t="s">
        <v>1057</v>
      </c>
      <c r="D185" t="s">
        <v>1058</v>
      </c>
      <c r="E185" t="s">
        <v>1059</v>
      </c>
      <c r="F185" t="s">
        <v>1060</v>
      </c>
    </row>
    <row r="186" spans="1:6" x14ac:dyDescent="0.2">
      <c r="A186" t="s">
        <v>1061</v>
      </c>
      <c r="B186" t="s">
        <v>1062</v>
      </c>
      <c r="C186" t="s">
        <v>1063</v>
      </c>
      <c r="D186" t="s">
        <v>1064</v>
      </c>
      <c r="E186" t="s">
        <v>1065</v>
      </c>
      <c r="F186" t="s">
        <v>1066</v>
      </c>
    </row>
    <row r="187" spans="1:6" x14ac:dyDescent="0.2">
      <c r="A187" t="s">
        <v>1067</v>
      </c>
      <c r="B187" t="s">
        <v>1068</v>
      </c>
      <c r="C187" t="s">
        <v>1069</v>
      </c>
      <c r="D187" t="s">
        <v>1070</v>
      </c>
      <c r="E187" t="s">
        <v>1071</v>
      </c>
      <c r="F187" t="s">
        <v>1072</v>
      </c>
    </row>
    <row r="188" spans="1:6" x14ac:dyDescent="0.2">
      <c r="A188" t="s">
        <v>1073</v>
      </c>
      <c r="B188" t="s">
        <v>1074</v>
      </c>
      <c r="C188" t="s">
        <v>1075</v>
      </c>
      <c r="D188" t="s">
        <v>1076</v>
      </c>
      <c r="E188" t="s">
        <v>1077</v>
      </c>
      <c r="F188" t="s">
        <v>1078</v>
      </c>
    </row>
    <row r="189" spans="1:6" x14ac:dyDescent="0.2">
      <c r="A189" t="s">
        <v>1079</v>
      </c>
      <c r="B189" t="s">
        <v>1080</v>
      </c>
      <c r="C189" t="s">
        <v>1081</v>
      </c>
      <c r="D189" t="s">
        <v>1082</v>
      </c>
      <c r="E189" t="s">
        <v>1083</v>
      </c>
      <c r="F189" t="s">
        <v>1084</v>
      </c>
    </row>
    <row r="190" spans="1:6" x14ac:dyDescent="0.2">
      <c r="A190" t="s">
        <v>1085</v>
      </c>
      <c r="B190" t="s">
        <v>1086</v>
      </c>
      <c r="C190" t="s">
        <v>1087</v>
      </c>
      <c r="D190" t="s">
        <v>1088</v>
      </c>
      <c r="E190" t="s">
        <v>1089</v>
      </c>
      <c r="F190" t="s">
        <v>1090</v>
      </c>
    </row>
    <row r="191" spans="1:6" x14ac:dyDescent="0.2">
      <c r="A191" t="s">
        <v>1091</v>
      </c>
      <c r="B191" t="s">
        <v>1092</v>
      </c>
    </row>
    <row r="192" spans="1:6" x14ac:dyDescent="0.2">
      <c r="A192" t="s">
        <v>1093</v>
      </c>
      <c r="B192" t="s">
        <v>1094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panzone@student.ubc.ca</dc:creator>
  <cp:lastModifiedBy>panzone@student.ubc.ca</cp:lastModifiedBy>
  <dcterms:created xsi:type="dcterms:W3CDTF">2026-01-29T16:31:13Z</dcterms:created>
  <dcterms:modified xsi:type="dcterms:W3CDTF">2026-01-29T16:32:52Z</dcterms:modified>
</cp:coreProperties>
</file>